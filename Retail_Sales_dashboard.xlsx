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has\OneDrive\Desktop\Excel Project\"/>
    </mc:Choice>
  </mc:AlternateContent>
  <xr:revisionPtr revIDLastSave="0" documentId="13_ncr:1_{581C34A7-0F36-4149-A69B-C603FA8E71FC}" xr6:coauthVersionLast="47" xr6:coauthVersionMax="47" xr10:uidLastSave="{00000000-0000-0000-0000-000000000000}"/>
  <bookViews>
    <workbookView xWindow="-108" yWindow="-108" windowWidth="23256" windowHeight="12456" activeTab="2" xr2:uid="{D7DD28FC-8428-47EF-A28B-A35F06BFF405}"/>
  </bookViews>
  <sheets>
    <sheet name="Raw_Data" sheetId="1" r:id="rId1"/>
    <sheet name="Pivot_Tables" sheetId="9" r:id="rId2"/>
    <sheet name="Dashboard" sheetId="8" r:id="rId3"/>
  </sheets>
  <definedNames>
    <definedName name="Slicer_Category1">#N/A</definedName>
    <definedName name="Slicer_Month">#N/A</definedName>
    <definedName name="Slicer_Payment_Mode">#N/A</definedName>
    <definedName name="Slicer_Region1">#N/A</definedName>
    <definedName name="Slicer_Salesperson">#N/A</definedName>
  </definedNames>
  <calcPr calcId="191029"/>
  <pivotCaches>
    <pivotCache cacheId="3" r:id="rId4"/>
    <pivotCache cacheId="4" r:id="rId5"/>
    <pivotCache cacheId="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 l="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 i="1"/>
</calcChain>
</file>

<file path=xl/sharedStrings.xml><?xml version="1.0" encoding="utf-8"?>
<sst xmlns="http://schemas.openxmlformats.org/spreadsheetml/2006/main" count="267" uniqueCount="55">
  <si>
    <t>Total Sales</t>
  </si>
  <si>
    <t>Total Profit</t>
  </si>
  <si>
    <t>Total Orders</t>
  </si>
  <si>
    <t>Average Sales</t>
  </si>
  <si>
    <t>Region</t>
  </si>
  <si>
    <t>Category</t>
  </si>
  <si>
    <t>Order_ID</t>
  </si>
  <si>
    <t>Date</t>
  </si>
  <si>
    <t>Product</t>
  </si>
  <si>
    <t>Salesperson</t>
  </si>
  <si>
    <t>Units</t>
  </si>
  <si>
    <t>Sales</t>
  </si>
  <si>
    <t>Profit</t>
  </si>
  <si>
    <t>Payment_Mode</t>
  </si>
  <si>
    <t>South</t>
  </si>
  <si>
    <t>Electronics</t>
  </si>
  <si>
    <t>Laptop</t>
  </si>
  <si>
    <t>Ravi</t>
  </si>
  <si>
    <t>UPI</t>
  </si>
  <si>
    <t>North</t>
  </si>
  <si>
    <t>Accessories</t>
  </si>
  <si>
    <t>Mouse</t>
  </si>
  <si>
    <t>Sita</t>
  </si>
  <si>
    <t>Cash</t>
  </si>
  <si>
    <t>East</t>
  </si>
  <si>
    <t>Keyboard</t>
  </si>
  <si>
    <t>Arun</t>
  </si>
  <si>
    <t>Card</t>
  </si>
  <si>
    <t>West</t>
  </si>
  <si>
    <t>Monitor</t>
  </si>
  <si>
    <t>Priya</t>
  </si>
  <si>
    <t>Headphones</t>
  </si>
  <si>
    <t>Kiran</t>
  </si>
  <si>
    <t>Row Labels</t>
  </si>
  <si>
    <t>Sum of Profit</t>
  </si>
  <si>
    <t>Grand Total</t>
  </si>
  <si>
    <t>Sum of Units</t>
  </si>
  <si>
    <t>Sum of Sales</t>
  </si>
  <si>
    <t>Month</t>
  </si>
  <si>
    <t>1.Region-Wise Sales</t>
  </si>
  <si>
    <t>2.Sales Person Performance</t>
  </si>
  <si>
    <t>3.Payment-Method Analysis</t>
  </si>
  <si>
    <t>4.Category Wise Profit</t>
  </si>
  <si>
    <t>Jan</t>
  </si>
  <si>
    <t>Feb</t>
  </si>
  <si>
    <t>Mar</t>
  </si>
  <si>
    <t>Apr</t>
  </si>
  <si>
    <t>May</t>
  </si>
  <si>
    <t>Jun</t>
  </si>
  <si>
    <t>Jul</t>
  </si>
  <si>
    <t>Aug</t>
  </si>
  <si>
    <t>5.Monthly Sales Trend</t>
  </si>
  <si>
    <t>PIVOT TABLES</t>
  </si>
  <si>
    <t xml:space="preserve">      RETAIL  SALES ANALYSIS DASHBOARD</t>
  </si>
  <si>
    <r>
      <t xml:space="preserve">      </t>
    </r>
    <r>
      <rPr>
        <b/>
        <u/>
        <sz val="14"/>
        <color theme="1"/>
        <rFont val="Gill Sans MT"/>
        <family val="2"/>
        <scheme val="minor"/>
      </rPr>
      <t>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</si>
</sst>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Gill Sans MT"/>
      <family val="2"/>
      <scheme val="minor"/>
    </font>
    <font>
      <b/>
      <sz val="11"/>
      <color theme="1"/>
      <name val="Gill Sans MT"/>
      <family val="2"/>
      <scheme val="minor"/>
    </font>
    <font>
      <b/>
      <sz val="14"/>
      <color theme="1"/>
      <name val="Gill Sans MT"/>
      <family val="2"/>
      <scheme val="minor"/>
    </font>
    <font>
      <sz val="11"/>
      <color theme="4" tint="-0.249977111117893"/>
      <name val="Gill Sans MT"/>
      <family val="2"/>
      <scheme val="minor"/>
    </font>
    <font>
      <sz val="12"/>
      <color theme="1"/>
      <name val="Gill Sans MT"/>
      <family val="2"/>
      <scheme val="minor"/>
    </font>
    <font>
      <b/>
      <u/>
      <sz val="14"/>
      <color theme="1"/>
      <name val="Gill Sans MT"/>
      <family val="2"/>
      <scheme val="minor"/>
    </font>
    <font>
      <b/>
      <sz val="14"/>
      <color theme="9" tint="0.79998168889431442"/>
      <name val="Gill Sans MT"/>
      <family val="2"/>
      <scheme val="minor"/>
    </font>
    <font>
      <sz val="11"/>
      <color theme="9" tint="0.79998168889431442"/>
      <name val="Gill Sans MT"/>
      <family val="2"/>
      <scheme val="minor"/>
    </font>
    <font>
      <b/>
      <sz val="18"/>
      <color theme="9" tint="0.79998168889431442"/>
      <name val="Gill Sans MT"/>
      <family val="2"/>
      <scheme val="minor"/>
    </font>
    <font>
      <b/>
      <sz val="22"/>
      <color theme="9" tint="0.79998168889431442"/>
      <name val="Gill Sans MT"/>
      <family val="2"/>
      <scheme val="minor"/>
    </font>
    <font>
      <b/>
      <sz val="22"/>
      <color theme="0"/>
      <name val="Gill Sans MT"/>
      <family val="2"/>
      <scheme val="minor"/>
    </font>
    <font>
      <b/>
      <sz val="20"/>
      <color theme="2"/>
      <name val="Gill Sans MT"/>
      <family val="2"/>
      <scheme val="minor"/>
    </font>
    <font>
      <b/>
      <sz val="22"/>
      <color theme="2"/>
      <name val="Gill Sans MT"/>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3" tint="-0.249977111117893"/>
        <bgColor indexed="64"/>
      </patternFill>
    </fill>
    <fill>
      <patternFill patternType="solid">
        <fgColor theme="1" tint="0.249977111117893"/>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indent="1"/>
    </xf>
    <xf numFmtId="0" fontId="1" fillId="0" borderId="0" xfId="0" applyFont="1" applyAlignment="1">
      <alignment horizontal="center" wrapText="1"/>
    </xf>
    <xf numFmtId="0" fontId="0" fillId="0" borderId="0" xfId="0" applyAlignment="1">
      <alignment horizontal="center" wrapText="1"/>
    </xf>
    <xf numFmtId="14" fontId="0" fillId="0" borderId="0" xfId="0" applyNumberFormat="1" applyAlignment="1">
      <alignment horizontal="center" wrapText="1"/>
    </xf>
    <xf numFmtId="0" fontId="6" fillId="4" borderId="0" xfId="0" applyFont="1" applyFill="1"/>
    <xf numFmtId="0" fontId="6" fillId="3" borderId="0" xfId="0" applyFont="1" applyFill="1"/>
    <xf numFmtId="0" fontId="0" fillId="4" borderId="0" xfId="0" applyFill="1"/>
    <xf numFmtId="0" fontId="9" fillId="2" borderId="0" xfId="0" applyFont="1" applyFill="1" applyAlignment="1" applyProtection="1">
      <alignment horizontal="center"/>
      <protection locked="0"/>
    </xf>
    <xf numFmtId="0" fontId="9" fillId="6" borderId="0" xfId="0" applyFont="1" applyFill="1" applyAlignment="1" applyProtection="1">
      <alignment horizontal="center"/>
      <protection locked="0"/>
    </xf>
    <xf numFmtId="0" fontId="10" fillId="6" borderId="0" xfId="0" applyFont="1" applyFill="1" applyAlignment="1" applyProtection="1">
      <alignment horizontal="center"/>
      <protection locked="0"/>
    </xf>
    <xf numFmtId="0" fontId="0" fillId="6" borderId="0" xfId="0" applyFill="1"/>
    <xf numFmtId="0" fontId="7" fillId="6" borderId="0" xfId="0" applyFont="1" applyFill="1"/>
    <xf numFmtId="0" fontId="4" fillId="4" borderId="0" xfId="0" applyFont="1" applyFill="1"/>
    <xf numFmtId="0" fontId="8" fillId="4" borderId="0" xfId="0" applyFont="1" applyFill="1"/>
    <xf numFmtId="0" fontId="3" fillId="6" borderId="0" xfId="0" applyFont="1" applyFill="1"/>
    <xf numFmtId="0" fontId="11" fillId="6" borderId="0" xfId="0" applyFont="1" applyFill="1" applyAlignment="1">
      <alignment horizontal="left"/>
    </xf>
    <xf numFmtId="0" fontId="0" fillId="0" borderId="0" xfId="0" pivotButton="1" applyProtection="1">
      <protection locked="0"/>
    </xf>
    <xf numFmtId="0" fontId="12" fillId="2" borderId="0" xfId="0" applyFont="1" applyFill="1" applyAlignment="1" applyProtection="1">
      <alignment horizontal="center"/>
      <protection locked="0"/>
    </xf>
    <xf numFmtId="0" fontId="12" fillId="5" borderId="0" xfId="0" applyFont="1" applyFill="1" applyAlignment="1" applyProtection="1">
      <alignment horizontal="center"/>
      <protection locked="0"/>
    </xf>
  </cellXfs>
  <cellStyles count="1">
    <cellStyle name="Normal" xfId="0" builtinId="0"/>
  </cellStyles>
  <dxfs count="53">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numFmt numFmtId="19" formatCode="dd/mm/yyyy"/>
      <alignment horizontal="center" vertical="bottom" textRotation="0" wrapText="1" indent="0" justifyLastLine="0" shrinkToFit="0" readingOrder="0"/>
    </dxf>
    <dxf>
      <numFmt numFmtId="19" formatCode="dd/mm/yyyy"/>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Gill Sans MT"/>
        <family val="2"/>
        <scheme val="minor"/>
      </font>
      <alignment horizontal="center" vertical="bottom" textRotation="0" wrapText="1"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protection locked="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1" xr9:uid="{89C12928-6FC8-4073-9B67-65426837C43A}">
      <tableStyleElement type="wholeTable" dxfId="5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[Retail_Sales_dashboard.xlsx]Pivot_Tables!PivotTable91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Person Performance</a:t>
            </a:r>
          </a:p>
        </c:rich>
      </c:tx>
      <c:layout>
        <c:manualLayout>
          <c:xMode val="edge"/>
          <c:yMode val="edge"/>
          <c:x val="0.24193744531933509"/>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96406636893897"/>
          <c:y val="0.21845453052337455"/>
          <c:w val="0.82380918733771868"/>
          <c:h val="0.6306416470995504"/>
        </c:manualLayout>
      </c:layout>
      <c:bar3DChart>
        <c:barDir val="col"/>
        <c:grouping val="clustered"/>
        <c:varyColors val="0"/>
        <c:ser>
          <c:idx val="0"/>
          <c:order val="0"/>
          <c:tx>
            <c:strRef>
              <c:f>Pivot_Tables!$G$5</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Pivot_Tables!$F$6:$F$11</c:f>
              <c:strCache>
                <c:ptCount val="5"/>
                <c:pt idx="0">
                  <c:v>Arun</c:v>
                </c:pt>
                <c:pt idx="1">
                  <c:v>Kiran</c:v>
                </c:pt>
                <c:pt idx="2">
                  <c:v>Priya</c:v>
                </c:pt>
                <c:pt idx="3">
                  <c:v>Ravi</c:v>
                </c:pt>
                <c:pt idx="4">
                  <c:v>Sita</c:v>
                </c:pt>
              </c:strCache>
            </c:strRef>
          </c:cat>
          <c:val>
            <c:numRef>
              <c:f>Pivot_Tables!$G$6:$G$11</c:f>
              <c:numCache>
                <c:formatCode>General</c:formatCode>
                <c:ptCount val="5"/>
                <c:pt idx="0">
                  <c:v>128700</c:v>
                </c:pt>
                <c:pt idx="1">
                  <c:v>90500</c:v>
                </c:pt>
                <c:pt idx="2">
                  <c:v>372000</c:v>
                </c:pt>
                <c:pt idx="3">
                  <c:v>552000</c:v>
                </c:pt>
                <c:pt idx="4">
                  <c:v>126300</c:v>
                </c:pt>
              </c:numCache>
            </c:numRef>
          </c:val>
          <c:extLst>
            <c:ext xmlns:c16="http://schemas.microsoft.com/office/drawing/2014/chart" uri="{C3380CC4-5D6E-409C-BE32-E72D297353CC}">
              <c16:uniqueId val="{00000003-5356-4490-84F6-214719D8954F}"/>
            </c:ext>
          </c:extLst>
        </c:ser>
        <c:dLbls>
          <c:showLegendKey val="0"/>
          <c:showVal val="0"/>
          <c:showCatName val="0"/>
          <c:showSerName val="0"/>
          <c:showPercent val="0"/>
          <c:showBubbleSize val="0"/>
        </c:dLbls>
        <c:gapWidth val="150"/>
        <c:shape val="box"/>
        <c:axId val="280987151"/>
        <c:axId val="280987631"/>
        <c:axId val="0"/>
      </c:bar3DChart>
      <c:catAx>
        <c:axId val="28098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87631"/>
        <c:crosses val="autoZero"/>
        <c:auto val="1"/>
        <c:lblAlgn val="ctr"/>
        <c:lblOffset val="100"/>
        <c:noMultiLvlLbl val="0"/>
      </c:catAx>
      <c:valAx>
        <c:axId val="2809876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8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[Retail_Sales_dashboard.xlsx]Pivot_Tables!PivotTable95</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layout>
        <c:manualLayout>
          <c:xMode val="edge"/>
          <c:yMode val="edge"/>
          <c:x val="0.24314159861368637"/>
          <c:y val="6.10286608461762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42474350100034"/>
          <c:y val="0.15397465262921553"/>
          <c:w val="0.804909192179174"/>
          <c:h val="0.78231526300746723"/>
        </c:manualLayout>
      </c:layout>
      <c:line3DChart>
        <c:grouping val="standard"/>
        <c:varyColors val="0"/>
        <c:ser>
          <c:idx val="0"/>
          <c:order val="0"/>
          <c:tx>
            <c:strRef>
              <c:f>Pivot_Tables!$T$5</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cat>
            <c:strRef>
              <c:f>Pivot_Tables!$S$6:$S$14</c:f>
              <c:strCache>
                <c:ptCount val="8"/>
                <c:pt idx="0">
                  <c:v>Jan</c:v>
                </c:pt>
                <c:pt idx="1">
                  <c:v>Feb</c:v>
                </c:pt>
                <c:pt idx="2">
                  <c:v>Mar</c:v>
                </c:pt>
                <c:pt idx="3">
                  <c:v>Apr</c:v>
                </c:pt>
                <c:pt idx="4">
                  <c:v>May</c:v>
                </c:pt>
                <c:pt idx="5">
                  <c:v>Jun</c:v>
                </c:pt>
                <c:pt idx="6">
                  <c:v>Jul</c:v>
                </c:pt>
                <c:pt idx="7">
                  <c:v>Aug</c:v>
                </c:pt>
              </c:strCache>
            </c:strRef>
          </c:cat>
          <c:val>
            <c:numRef>
              <c:f>Pivot_Tables!$T$6:$T$14</c:f>
              <c:numCache>
                <c:formatCode>General</c:formatCode>
                <c:ptCount val="8"/>
                <c:pt idx="0">
                  <c:v>170000</c:v>
                </c:pt>
                <c:pt idx="1">
                  <c:v>122000</c:v>
                </c:pt>
                <c:pt idx="2">
                  <c:v>185000</c:v>
                </c:pt>
                <c:pt idx="3">
                  <c:v>151000</c:v>
                </c:pt>
                <c:pt idx="4">
                  <c:v>179000</c:v>
                </c:pt>
                <c:pt idx="5">
                  <c:v>122500</c:v>
                </c:pt>
                <c:pt idx="6">
                  <c:v>198500</c:v>
                </c:pt>
                <c:pt idx="7">
                  <c:v>141500</c:v>
                </c:pt>
              </c:numCache>
            </c:numRef>
          </c:val>
          <c:smooth val="0"/>
          <c:extLst>
            <c:ext xmlns:c16="http://schemas.microsoft.com/office/drawing/2014/chart" uri="{C3380CC4-5D6E-409C-BE32-E72D297353CC}">
              <c16:uniqueId val="{00000007-FCDA-401A-B0AE-FED99317DAB9}"/>
            </c:ext>
          </c:extLst>
        </c:ser>
        <c:dLbls>
          <c:showLegendKey val="0"/>
          <c:showVal val="0"/>
          <c:showCatName val="0"/>
          <c:showSerName val="0"/>
          <c:showPercent val="0"/>
          <c:showBubbleSize val="0"/>
        </c:dLbls>
        <c:axId val="294831903"/>
        <c:axId val="294848223"/>
        <c:axId val="283925487"/>
      </c:line3DChart>
      <c:catAx>
        <c:axId val="29483190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848223"/>
        <c:crosses val="autoZero"/>
        <c:auto val="1"/>
        <c:lblAlgn val="ctr"/>
        <c:lblOffset val="100"/>
        <c:noMultiLvlLbl val="0"/>
      </c:catAx>
      <c:valAx>
        <c:axId val="29484822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831903"/>
        <c:crosses val="autoZero"/>
        <c:crossBetween val="between"/>
      </c:valAx>
      <c:serAx>
        <c:axId val="28392548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848223"/>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[Retail_Sales_dashboard.xlsx]Pivot_Tables!PivotTable86</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 Contribution</a:t>
            </a:r>
          </a:p>
        </c:rich>
      </c:tx>
      <c:layout>
        <c:manualLayout>
          <c:xMode val="edge"/>
          <c:yMode val="edge"/>
          <c:x val="0.2051670969451754"/>
          <c:y val="7.76830125642309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Pivot_Tables!$C$5</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D942-4E65-BDB6-25FD5C9FA884}"/>
              </c:ext>
            </c:extLst>
          </c:dPt>
          <c:dPt>
            <c:idx val="1"/>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D942-4E65-BDB6-25FD5C9FA884}"/>
              </c:ext>
            </c:extLst>
          </c:dPt>
          <c:dPt>
            <c:idx val="2"/>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D942-4E65-BDB6-25FD5C9FA884}"/>
              </c:ext>
            </c:extLst>
          </c:dPt>
          <c:dPt>
            <c:idx val="3"/>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D942-4E65-BDB6-25FD5C9FA8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Pivot_Tables!$B$6:$B$10</c:f>
              <c:strCache>
                <c:ptCount val="4"/>
                <c:pt idx="0">
                  <c:v>East</c:v>
                </c:pt>
                <c:pt idx="1">
                  <c:v>North</c:v>
                </c:pt>
                <c:pt idx="2">
                  <c:v>South</c:v>
                </c:pt>
                <c:pt idx="3">
                  <c:v>West</c:v>
                </c:pt>
              </c:strCache>
            </c:strRef>
          </c:cat>
          <c:val>
            <c:numRef>
              <c:f>Pivot_Tables!$C$6:$C$10</c:f>
              <c:numCache>
                <c:formatCode>General</c:formatCode>
                <c:ptCount val="4"/>
                <c:pt idx="0">
                  <c:v>377500</c:v>
                </c:pt>
                <c:pt idx="1">
                  <c:v>288200</c:v>
                </c:pt>
                <c:pt idx="2">
                  <c:v>329300</c:v>
                </c:pt>
                <c:pt idx="3">
                  <c:v>274500</c:v>
                </c:pt>
              </c:numCache>
            </c:numRef>
          </c:val>
          <c:extLst>
            <c:ext xmlns:c16="http://schemas.microsoft.com/office/drawing/2014/chart" uri="{C3380CC4-5D6E-409C-BE32-E72D297353CC}">
              <c16:uniqueId val="{0000000C-619C-4173-A418-2BF3F81D5824}"/>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[Retail_Sales_dashboard.xlsx]Pivot_Tables!PivotTable90</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a:t>
            </a:r>
          </a:p>
        </c:rich>
      </c:tx>
      <c:layout>
        <c:manualLayout>
          <c:xMode val="edge"/>
          <c:yMode val="edge"/>
          <c:x val="0.30270914649218322"/>
          <c:y val="3.2407343815542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Pivot_Tables!$P$5</c:f>
              <c:strCache>
                <c:ptCount val="1"/>
                <c:pt idx="0">
                  <c:v>Sum of Units</c:v>
                </c:pt>
              </c:strCache>
            </c:strRef>
          </c:tx>
          <c:spPr>
            <a:gradFill rotWithShape="1">
              <a:gsLst>
                <a:gs pos="0">
                  <a:schemeClr val="accent1">
                    <a:tint val="77000"/>
                    <a:tint val="98000"/>
                    <a:satMod val="110000"/>
                    <a:lumMod val="104000"/>
                  </a:schemeClr>
                </a:gs>
                <a:gs pos="69000">
                  <a:schemeClr val="accent1">
                    <a:tint val="77000"/>
                    <a:shade val="88000"/>
                    <a:satMod val="130000"/>
                    <a:lumMod val="92000"/>
                  </a:schemeClr>
                </a:gs>
                <a:gs pos="100000">
                  <a:schemeClr val="accent1">
                    <a:tint val="77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multiLvlStrRef>
              <c:f>Pivot_Tables!$O$6:$O$13</c:f>
              <c:multiLvlStrCache>
                <c:ptCount val="5"/>
                <c:lvl>
                  <c:pt idx="0">
                    <c:v>Headphones</c:v>
                  </c:pt>
                  <c:pt idx="1">
                    <c:v>Mouse</c:v>
                  </c:pt>
                  <c:pt idx="2">
                    <c:v>Keyboard</c:v>
                  </c:pt>
                  <c:pt idx="3">
                    <c:v>Laptop</c:v>
                  </c:pt>
                  <c:pt idx="4">
                    <c:v>Monitor</c:v>
                  </c:pt>
                </c:lvl>
                <c:lvl>
                  <c:pt idx="0">
                    <c:v>Accessories</c:v>
                  </c:pt>
                  <c:pt idx="2">
                    <c:v>Electronics</c:v>
                  </c:pt>
                </c:lvl>
              </c:multiLvlStrCache>
            </c:multiLvlStrRef>
          </c:cat>
          <c:val>
            <c:numRef>
              <c:f>Pivot_Tables!$P$6:$P$13</c:f>
              <c:numCache>
                <c:formatCode>General</c:formatCode>
                <c:ptCount val="5"/>
                <c:pt idx="0">
                  <c:v>47</c:v>
                </c:pt>
                <c:pt idx="1">
                  <c:v>76</c:v>
                </c:pt>
                <c:pt idx="2">
                  <c:v>53</c:v>
                </c:pt>
                <c:pt idx="3">
                  <c:v>12</c:v>
                </c:pt>
                <c:pt idx="4">
                  <c:v>24</c:v>
                </c:pt>
              </c:numCache>
            </c:numRef>
          </c:val>
          <c:extLst>
            <c:ext xmlns:c16="http://schemas.microsoft.com/office/drawing/2014/chart" uri="{C3380CC4-5D6E-409C-BE32-E72D297353CC}">
              <c16:uniqueId val="{00000023-1063-4EF9-93D5-FC4013F3C1BE}"/>
            </c:ext>
          </c:extLst>
        </c:ser>
        <c:ser>
          <c:idx val="1"/>
          <c:order val="1"/>
          <c:tx>
            <c:strRef>
              <c:f>Pivot_Tables!$Q$5</c:f>
              <c:strCache>
                <c:ptCount val="1"/>
                <c:pt idx="0">
                  <c:v>Sum of Profit</c:v>
                </c:pt>
              </c:strCache>
            </c:strRef>
          </c:tx>
          <c:spPr>
            <a:gradFill rotWithShape="1">
              <a:gsLst>
                <a:gs pos="0">
                  <a:schemeClr val="accent1">
                    <a:shade val="76000"/>
                    <a:tint val="98000"/>
                    <a:satMod val="110000"/>
                    <a:lumMod val="104000"/>
                  </a:schemeClr>
                </a:gs>
                <a:gs pos="69000">
                  <a:schemeClr val="accent1">
                    <a:shade val="76000"/>
                    <a:shade val="88000"/>
                    <a:satMod val="130000"/>
                    <a:lumMod val="92000"/>
                  </a:schemeClr>
                </a:gs>
                <a:gs pos="100000">
                  <a:schemeClr val="accent1">
                    <a:shade val="76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multiLvlStrRef>
              <c:f>Pivot_Tables!$O$6:$O$13</c:f>
              <c:multiLvlStrCache>
                <c:ptCount val="5"/>
                <c:lvl>
                  <c:pt idx="0">
                    <c:v>Headphones</c:v>
                  </c:pt>
                  <c:pt idx="1">
                    <c:v>Mouse</c:v>
                  </c:pt>
                  <c:pt idx="2">
                    <c:v>Keyboard</c:v>
                  </c:pt>
                  <c:pt idx="3">
                    <c:v>Laptop</c:v>
                  </c:pt>
                  <c:pt idx="4">
                    <c:v>Monitor</c:v>
                  </c:pt>
                </c:lvl>
                <c:lvl>
                  <c:pt idx="0">
                    <c:v>Accessories</c:v>
                  </c:pt>
                  <c:pt idx="2">
                    <c:v>Electronics</c:v>
                  </c:pt>
                </c:lvl>
              </c:multiLvlStrCache>
            </c:multiLvlStrRef>
          </c:cat>
          <c:val>
            <c:numRef>
              <c:f>Pivot_Tables!$Q$6:$Q$13</c:f>
              <c:numCache>
                <c:formatCode>General</c:formatCode>
                <c:ptCount val="5"/>
                <c:pt idx="0">
                  <c:v>18500</c:v>
                </c:pt>
                <c:pt idx="1">
                  <c:v>24950</c:v>
                </c:pt>
                <c:pt idx="2">
                  <c:v>25200</c:v>
                </c:pt>
                <c:pt idx="3">
                  <c:v>93700</c:v>
                </c:pt>
                <c:pt idx="4">
                  <c:v>74000</c:v>
                </c:pt>
              </c:numCache>
            </c:numRef>
          </c:val>
          <c:extLst>
            <c:ext xmlns:c16="http://schemas.microsoft.com/office/drawing/2014/chart" uri="{C3380CC4-5D6E-409C-BE32-E72D297353CC}">
              <c16:uniqueId val="{00000024-1063-4EF9-93D5-FC4013F3C1BE}"/>
            </c:ext>
          </c:extLst>
        </c:ser>
        <c:dLbls>
          <c:showLegendKey val="0"/>
          <c:showVal val="0"/>
          <c:showCatName val="0"/>
          <c:showSerName val="0"/>
          <c:showPercent val="0"/>
          <c:showBubbleSize val="0"/>
        </c:dLbls>
        <c:gapWidth val="150"/>
        <c:shape val="box"/>
        <c:axId val="280987151"/>
        <c:axId val="280987631"/>
        <c:axId val="0"/>
      </c:bar3DChart>
      <c:catAx>
        <c:axId val="28098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80987631"/>
        <c:crosses val="autoZero"/>
        <c:auto val="1"/>
        <c:lblAlgn val="ctr"/>
        <c:lblOffset val="100"/>
        <c:noMultiLvlLbl val="0"/>
      </c:catAx>
      <c:valAx>
        <c:axId val="28098763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98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10</xdr:row>
      <xdr:rowOff>213359</xdr:rowOff>
    </xdr:from>
    <xdr:to>
      <xdr:col>2</xdr:col>
      <xdr:colOff>601980</xdr:colOff>
      <xdr:row>18</xdr:row>
      <xdr:rowOff>45720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22DD30F-181C-A61A-7F87-937AC1A3D4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4840" y="2659379"/>
              <a:ext cx="1699260" cy="1661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11</xdr:row>
      <xdr:rowOff>106681</xdr:rowOff>
    </xdr:from>
    <xdr:to>
      <xdr:col>6</xdr:col>
      <xdr:colOff>838200</xdr:colOff>
      <xdr:row>19</xdr:row>
      <xdr:rowOff>137161</xdr:rowOff>
    </xdr:to>
    <mc:AlternateContent xmlns:mc="http://schemas.openxmlformats.org/markup-compatibility/2006" xmlns:a14="http://schemas.microsoft.com/office/drawing/2010/main">
      <mc:Choice Requires="a14">
        <xdr:graphicFrame macro="">
          <xdr:nvGraphicFramePr>
            <xdr:cNvPr id="3" name="Salesperson 1">
              <a:extLst>
                <a:ext uri="{FF2B5EF4-FFF2-40B4-BE49-F238E27FC236}">
                  <a16:creationId xmlns:a16="http://schemas.microsoft.com/office/drawing/2014/main" id="{1FC386AA-8B79-28EB-7D54-949B81791F06}"/>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3040380" y="2781301"/>
              <a:ext cx="183642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9</xdr:row>
      <xdr:rowOff>68581</xdr:rowOff>
    </xdr:from>
    <xdr:to>
      <xdr:col>11</xdr:col>
      <xdr:colOff>716280</xdr:colOff>
      <xdr:row>15</xdr:row>
      <xdr:rowOff>1</xdr:rowOff>
    </xdr:to>
    <mc:AlternateContent xmlns:mc="http://schemas.openxmlformats.org/markup-compatibility/2006" xmlns:a14="http://schemas.microsoft.com/office/drawing/2010/main">
      <mc:Choice Requires="a14">
        <xdr:graphicFrame macro="">
          <xdr:nvGraphicFramePr>
            <xdr:cNvPr id="4" name="Payment_Mode">
              <a:extLst>
                <a:ext uri="{FF2B5EF4-FFF2-40B4-BE49-F238E27FC236}">
                  <a16:creationId xmlns:a16="http://schemas.microsoft.com/office/drawing/2014/main" id="{39601D7A-5AE5-3DDB-8A7E-D0C38CD8176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722620" y="228600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13</xdr:row>
      <xdr:rowOff>91441</xdr:rowOff>
    </xdr:from>
    <xdr:to>
      <xdr:col>15</xdr:col>
      <xdr:colOff>624840</xdr:colOff>
      <xdr:row>17</xdr:row>
      <xdr:rowOff>129541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697FBCBD-2C92-4BFC-B990-57BD5015B4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69680" y="322326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14</xdr:row>
      <xdr:rowOff>60960</xdr:rowOff>
    </xdr:from>
    <xdr:to>
      <xdr:col>19</xdr:col>
      <xdr:colOff>762000</xdr:colOff>
      <xdr:row>26</xdr:row>
      <xdr:rowOff>127635</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1A28B708-C84D-6F18-7B88-4CF2F5C0BA5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169140" y="342138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19</xdr:row>
      <xdr:rowOff>164541</xdr:rowOff>
    </xdr:from>
    <xdr:to>
      <xdr:col>6</xdr:col>
      <xdr:colOff>960286</xdr:colOff>
      <xdr:row>36</xdr:row>
      <xdr:rowOff>64057</xdr:rowOff>
    </xdr:to>
    <xdr:graphicFrame macro="">
      <xdr:nvGraphicFramePr>
        <xdr:cNvPr id="3" name="Chart 2">
          <a:extLst>
            <a:ext uri="{FF2B5EF4-FFF2-40B4-BE49-F238E27FC236}">
              <a16:creationId xmlns:a16="http://schemas.microsoft.com/office/drawing/2014/main" id="{3BD3A4AA-A7ED-45BC-B6F0-A8887DBAB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16748</xdr:colOff>
      <xdr:row>4</xdr:row>
      <xdr:rowOff>102158</xdr:rowOff>
    </xdr:from>
    <xdr:to>
      <xdr:col>6</xdr:col>
      <xdr:colOff>967991</xdr:colOff>
      <xdr:row>19</xdr:row>
      <xdr:rowOff>152400</xdr:rowOff>
    </xdr:to>
    <xdr:graphicFrame macro="">
      <xdr:nvGraphicFramePr>
        <xdr:cNvPr id="4" name="Chart 3">
          <a:extLst>
            <a:ext uri="{FF2B5EF4-FFF2-40B4-BE49-F238E27FC236}">
              <a16:creationId xmlns:a16="http://schemas.microsoft.com/office/drawing/2014/main" id="{EFBCD4E9-C7F4-4C61-A857-843B7F156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994283</xdr:colOff>
      <xdr:row>4</xdr:row>
      <xdr:rowOff>100652</xdr:rowOff>
    </xdr:from>
    <xdr:to>
      <xdr:col>12</xdr:col>
      <xdr:colOff>26292</xdr:colOff>
      <xdr:row>19</xdr:row>
      <xdr:rowOff>150894</xdr:rowOff>
    </xdr:to>
    <xdr:graphicFrame macro="">
      <xdr:nvGraphicFramePr>
        <xdr:cNvPr id="5" name="Chart 4">
          <a:extLst>
            <a:ext uri="{FF2B5EF4-FFF2-40B4-BE49-F238E27FC236}">
              <a16:creationId xmlns:a16="http://schemas.microsoft.com/office/drawing/2014/main" id="{84D6FFA6-0F97-4F25-A7CB-F9070AAA9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998807</xdr:colOff>
      <xdr:row>19</xdr:row>
      <xdr:rowOff>167473</xdr:rowOff>
    </xdr:from>
    <xdr:to>
      <xdr:col>11</xdr:col>
      <xdr:colOff>602901</xdr:colOff>
      <xdr:row>36</xdr:row>
      <xdr:rowOff>66989</xdr:rowOff>
    </xdr:to>
    <xdr:graphicFrame macro="">
      <xdr:nvGraphicFramePr>
        <xdr:cNvPr id="6" name="Chart 5">
          <a:extLst>
            <a:ext uri="{FF2B5EF4-FFF2-40B4-BE49-F238E27FC236}">
              <a16:creationId xmlns:a16="http://schemas.microsoft.com/office/drawing/2014/main" id="{59C0D6C4-8B72-4097-8B48-F2ECE5255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91257</xdr:colOff>
      <xdr:row>14</xdr:row>
      <xdr:rowOff>117763</xdr:rowOff>
    </xdr:from>
    <xdr:to>
      <xdr:col>14</xdr:col>
      <xdr:colOff>533400</xdr:colOff>
      <xdr:row>22</xdr:row>
      <xdr:rowOff>14160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0E636EA6-6C5B-63E7-AF46-7A7D6BD990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20166" y="3865418"/>
              <a:ext cx="1661343" cy="1725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85410</xdr:colOff>
      <xdr:row>31</xdr:row>
      <xdr:rowOff>31987</xdr:rowOff>
    </xdr:from>
    <xdr:to>
      <xdr:col>15</xdr:col>
      <xdr:colOff>80386</xdr:colOff>
      <xdr:row>36</xdr:row>
      <xdr:rowOff>25120</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DB2D8B06-C123-5AFA-CA7D-391F32DFA8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714319" y="7665842"/>
              <a:ext cx="1823776" cy="1136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93785</xdr:colOff>
      <xdr:row>22</xdr:row>
      <xdr:rowOff>69271</xdr:rowOff>
    </xdr:from>
    <xdr:to>
      <xdr:col>14</xdr:col>
      <xdr:colOff>561109</xdr:colOff>
      <xdr:row>30</xdr:row>
      <xdr:rowOff>175844</xdr:rowOff>
    </xdr:to>
    <mc:AlternateContent xmlns:mc="http://schemas.openxmlformats.org/markup-compatibility/2006" xmlns:a14="http://schemas.microsoft.com/office/drawing/2010/main">
      <mc:Choice Requires="a14">
        <xdr:graphicFrame macro="">
          <xdr:nvGraphicFramePr>
            <xdr:cNvPr id="14" name="Salesperson">
              <a:extLst>
                <a:ext uri="{FF2B5EF4-FFF2-40B4-BE49-F238E27FC236}">
                  <a16:creationId xmlns:a16="http://schemas.microsoft.com/office/drawing/2014/main" id="{1C018F7E-A23C-7A9B-A372-7CCB6538E92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722694" y="5645726"/>
              <a:ext cx="1686524" cy="1935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110531</xdr:colOff>
      <xdr:row>4</xdr:row>
      <xdr:rowOff>159326</xdr:rowOff>
    </xdr:from>
    <xdr:to>
      <xdr:col>14</xdr:col>
      <xdr:colOff>491837</xdr:colOff>
      <xdr:row>14</xdr:row>
      <xdr:rowOff>80407</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58D8DFE1-F3F5-4902-F68C-9B2FF2179D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739440" y="1620981"/>
              <a:ext cx="1600506" cy="2207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sri Pinninti" refreshedDate="46159.713462615742" createdVersion="8" refreshedVersion="8" minRefreshableVersion="3" recordCount="40" xr:uid="{9822315A-E5EE-4858-82CF-EB8E0DF8DDAD}">
  <cacheSource type="worksheet">
    <worksheetSource ref="B3:L43" sheet="Raw_Data"/>
  </cacheSource>
  <cacheFields count="11">
    <cacheField name="Order_ID" numFmtId="0">
      <sharedItems containsSemiMixedTypes="0" containsString="0" containsNumber="1" containsInteger="1" minValue="1001" maxValue="1040"/>
    </cacheField>
    <cacheField name="Date" numFmtId="14">
      <sharedItems containsSemiMixedTypes="0" containsNonDate="0" containsDate="1" containsString="0" minDate="2026-01-01T00:00:00" maxDate="2026-01-21T00:00:00"/>
    </cacheField>
    <cacheField name="Day" numFmtId="14">
      <sharedItems/>
    </cacheField>
    <cacheField name="Region" numFmtId="0">
      <sharedItems count="4">
        <s v="South"/>
        <s v="North"/>
        <s v="East"/>
        <s v="West"/>
      </sharedItems>
    </cacheField>
    <cacheField name="Category" numFmtId="0">
      <sharedItems/>
    </cacheField>
    <cacheField name="Product" numFmtId="0">
      <sharedItems/>
    </cacheField>
    <cacheField name="Salesperson" numFmtId="0">
      <sharedItems/>
    </cacheField>
    <cacheField name="Units" numFmtId="0">
      <sharedItems containsSemiMixedTypes="0" containsString="0" containsNumber="1" containsInteger="1" minValue="1" maxValue="12"/>
    </cacheField>
    <cacheField name="Sales" numFmtId="0">
      <sharedItems containsSemiMixedTypes="0" containsString="0" containsNumber="1" containsInteger="1" minValue="8000" maxValue="93000"/>
    </cacheField>
    <cacheField name="Profit" numFmtId="0">
      <sharedItems containsSemiMixedTypes="0" containsString="0" containsNumber="1" containsInteger="1" minValue="2000" maxValue="16200"/>
    </cacheField>
    <cacheField name="Payment_Mode" numFmtId="0">
      <sharedItems/>
    </cacheField>
  </cacheFields>
  <extLst>
    <ext xmlns:x14="http://schemas.microsoft.com/office/spreadsheetml/2009/9/main" uri="{725AE2AE-9491-48be-B2B4-4EB974FC3084}">
      <x14:pivotCacheDefinition pivotCacheId="1113682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sri Pinninti" refreshedDate="46159.717543865743" createdVersion="8" refreshedVersion="8" minRefreshableVersion="3" recordCount="40" xr:uid="{AF160D37-466A-4F12-9753-7653128E0B2B}">
  <cacheSource type="worksheet">
    <worksheetSource ref="B3:L43" sheet="Raw_Data"/>
  </cacheSource>
  <cacheFields count="11">
    <cacheField name="Order_ID" numFmtId="0">
      <sharedItems containsSemiMixedTypes="0" containsString="0" containsNumber="1" containsInteger="1" minValue="1001" maxValue="1040"/>
    </cacheField>
    <cacheField name="Date" numFmtId="14">
      <sharedItems containsSemiMixedTypes="0" containsNonDate="0" containsDate="1" containsString="0" minDate="2026-01-01T00:00:00" maxDate="2026-01-21T00:00:00"/>
    </cacheField>
    <cacheField name="Day" numFmtId="14">
      <sharedItems count="20">
        <s v="01"/>
        <s v="02"/>
        <s v="03"/>
        <s v="04"/>
        <s v="05"/>
        <s v="06"/>
        <s v="07"/>
        <s v="08"/>
        <s v="09"/>
        <s v="10"/>
        <s v="11"/>
        <s v="12"/>
        <s v="13"/>
        <s v="14"/>
        <s v="15"/>
        <s v="16"/>
        <s v="17"/>
        <s v="18"/>
        <s v="19"/>
        <s v="20"/>
      </sharedItems>
    </cacheField>
    <cacheField name="Region" numFmtId="0">
      <sharedItems count="4">
        <s v="South"/>
        <s v="North"/>
        <s v="East"/>
        <s v="West"/>
      </sharedItems>
    </cacheField>
    <cacheField name="Category" numFmtId="0">
      <sharedItems count="2">
        <s v="Electronics"/>
        <s v="Accessories"/>
      </sharedItems>
    </cacheField>
    <cacheField name="Product" numFmtId="0">
      <sharedItems count="5">
        <s v="Laptop"/>
        <s v="Mouse"/>
        <s v="Keyboard"/>
        <s v="Monitor"/>
        <s v="Headphones"/>
      </sharedItems>
    </cacheField>
    <cacheField name="Salesperson" numFmtId="0">
      <sharedItems count="5">
        <s v="Ravi"/>
        <s v="Sita"/>
        <s v="Arun"/>
        <s v="Priya"/>
        <s v="Kiran"/>
      </sharedItems>
    </cacheField>
    <cacheField name="Units" numFmtId="0">
      <sharedItems containsSemiMixedTypes="0" containsString="0" containsNumber="1" containsInteger="1" minValue="1" maxValue="12"/>
    </cacheField>
    <cacheField name="Sales" numFmtId="0">
      <sharedItems containsSemiMixedTypes="0" containsString="0" containsNumber="1" containsInteger="1" minValue="8000" maxValue="93000"/>
    </cacheField>
    <cacheField name="Profit" numFmtId="0">
      <sharedItems containsSemiMixedTypes="0" containsString="0" containsNumber="1" containsInteger="1" minValue="2000" maxValue="16200"/>
    </cacheField>
    <cacheField name="Payment_Mode" numFmtId="0">
      <sharedItems count="3">
        <s v="UPI"/>
        <s v="Cash"/>
        <s v="Card"/>
      </sharedItems>
    </cacheField>
  </cacheFields>
  <extLst>
    <ext xmlns:x14="http://schemas.microsoft.com/office/spreadsheetml/2009/9/main" uri="{725AE2AE-9491-48be-B2B4-4EB974FC3084}">
      <x14:pivotCacheDefinition pivotCacheId="13386857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sri Pinninti" refreshedDate="46159.730735879632" createdVersion="8" refreshedVersion="8" minRefreshableVersion="3" recordCount="40" xr:uid="{65A9E031-6E77-4188-8330-76B7FAF87B02}">
  <cacheSource type="worksheet">
    <worksheetSource ref="B3:L43" sheet="Raw_Data"/>
  </cacheSource>
  <cacheFields count="11">
    <cacheField name="Order_ID" numFmtId="0">
      <sharedItems containsSemiMixedTypes="0" containsString="0" containsNumber="1" containsInteger="1" minValue="1001" maxValue="1040"/>
    </cacheField>
    <cacheField name="Date" numFmtId="14">
      <sharedItems containsSemiMixedTypes="0" containsNonDate="0" containsDate="1" containsString="0" minDate="2026-01-01T00:00:00" maxDate="2026-08-23T00:00:00"/>
    </cacheField>
    <cacheField name="Month" numFmtId="14">
      <sharedItems count="8">
        <s v="Jan"/>
        <s v="Feb"/>
        <s v="Mar"/>
        <s v="Apr"/>
        <s v="May"/>
        <s v="Jun"/>
        <s v="Jul"/>
        <s v="Aug"/>
      </sharedItems>
    </cacheField>
    <cacheField name="Region" numFmtId="0">
      <sharedItems count="4">
        <s v="South"/>
        <s v="North"/>
        <s v="East"/>
        <s v="West"/>
      </sharedItems>
    </cacheField>
    <cacheField name="Category" numFmtId="0">
      <sharedItems/>
    </cacheField>
    <cacheField name="Product" numFmtId="0">
      <sharedItems/>
    </cacheField>
    <cacheField name="Salesperson" numFmtId="0">
      <sharedItems/>
    </cacheField>
    <cacheField name="Units" numFmtId="0">
      <sharedItems containsSemiMixedTypes="0" containsString="0" containsNumber="1" containsInteger="1" minValue="1" maxValue="12"/>
    </cacheField>
    <cacheField name="Sales" numFmtId="0">
      <sharedItems containsSemiMixedTypes="0" containsString="0" containsNumber="1" containsInteger="1" minValue="8000" maxValue="93000"/>
    </cacheField>
    <cacheField name="Profit" numFmtId="0">
      <sharedItems containsSemiMixedTypes="0" containsString="0" containsNumber="1" containsInteger="1" minValue="2000" maxValue="16200"/>
    </cacheField>
    <cacheField name="Payment_Mode" numFmtId="0">
      <sharedItems count="3">
        <s v="UPI"/>
        <s v="Cash"/>
        <s v="Card"/>
      </sharedItems>
    </cacheField>
  </cacheFields>
  <extLst>
    <ext xmlns:x14="http://schemas.microsoft.com/office/spreadsheetml/2009/9/main" uri="{725AE2AE-9491-48be-B2B4-4EB974FC3084}">
      <x14:pivotCacheDefinition pivotCacheId="866594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d v="2026-01-01T00:00:00"/>
    <s v="01"/>
    <x v="0"/>
    <s v="Electronics"/>
    <s v="Laptop"/>
    <s v="Ravi"/>
    <n v="2"/>
    <n v="90000"/>
    <n v="15000"/>
    <s v="UPI"/>
  </r>
  <r>
    <n v="1002"/>
    <d v="2026-01-01T00:00:00"/>
    <s v="01"/>
    <x v="1"/>
    <s v="Accessories"/>
    <s v="Mouse"/>
    <s v="Sita"/>
    <n v="10"/>
    <n v="15000"/>
    <n v="3000"/>
    <s v="Cash"/>
  </r>
  <r>
    <n v="1003"/>
    <d v="2026-01-02T00:00:00"/>
    <s v="02"/>
    <x v="2"/>
    <s v="Electronics"/>
    <s v="Keyboard"/>
    <s v="Arun"/>
    <n v="5"/>
    <n v="12000"/>
    <n v="2500"/>
    <s v="Card"/>
  </r>
  <r>
    <n v="1004"/>
    <d v="2026-01-02T00:00:00"/>
    <s v="02"/>
    <x v="3"/>
    <s v="Electronics"/>
    <s v="Monitor"/>
    <s v="Priya"/>
    <n v="3"/>
    <n v="45000"/>
    <n v="9000"/>
    <s v="UPI"/>
  </r>
  <r>
    <n v="1005"/>
    <d v="2026-01-03T00:00:00"/>
    <s v="03"/>
    <x v="0"/>
    <s v="Accessories"/>
    <s v="Headphones"/>
    <s v="Kiran"/>
    <n v="4"/>
    <n v="8000"/>
    <n v="2000"/>
    <s v="Cash"/>
  </r>
  <r>
    <n v="1006"/>
    <d v="2026-01-03T00:00:00"/>
    <s v="03"/>
    <x v="1"/>
    <s v="Electronics"/>
    <s v="Laptop"/>
    <s v="Ravi"/>
    <n v="1"/>
    <n v="45000"/>
    <n v="7000"/>
    <s v="Card"/>
  </r>
  <r>
    <n v="1007"/>
    <d v="2026-01-04T00:00:00"/>
    <s v="04"/>
    <x v="2"/>
    <s v="Accessories"/>
    <s v="Mouse"/>
    <s v="Sita"/>
    <n v="12"/>
    <n v="18000"/>
    <n v="3500"/>
    <s v="UPI"/>
  </r>
  <r>
    <n v="1008"/>
    <d v="2026-01-04T00:00:00"/>
    <s v="04"/>
    <x v="3"/>
    <s v="Electronics"/>
    <s v="Keyboard"/>
    <s v="Arun"/>
    <n v="7"/>
    <n v="17000"/>
    <n v="3200"/>
    <s v="Cash"/>
  </r>
  <r>
    <n v="1009"/>
    <d v="2026-01-05T00:00:00"/>
    <s v="05"/>
    <x v="0"/>
    <s v="Electronics"/>
    <s v="Monitor"/>
    <s v="Priya"/>
    <n v="2"/>
    <n v="30000"/>
    <n v="6000"/>
    <s v="Card"/>
  </r>
  <r>
    <n v="1010"/>
    <d v="2026-01-05T00:00:00"/>
    <s v="05"/>
    <x v="1"/>
    <s v="Accessories"/>
    <s v="Headphones"/>
    <s v="Kiran"/>
    <n v="6"/>
    <n v="12000"/>
    <n v="2400"/>
    <s v="UPI"/>
  </r>
  <r>
    <n v="1011"/>
    <d v="2026-01-06T00:00:00"/>
    <s v="06"/>
    <x v="2"/>
    <s v="Electronics"/>
    <s v="Laptop"/>
    <s v="Ravi"/>
    <n v="2"/>
    <n v="92000"/>
    <n v="16000"/>
    <s v="Cash"/>
  </r>
  <r>
    <n v="1012"/>
    <d v="2026-01-06T00:00:00"/>
    <s v="06"/>
    <x v="3"/>
    <s v="Accessories"/>
    <s v="Mouse"/>
    <s v="Sita"/>
    <n v="8"/>
    <n v="14000"/>
    <n v="2800"/>
    <s v="Card"/>
  </r>
  <r>
    <n v="1013"/>
    <d v="2026-01-07T00:00:00"/>
    <s v="07"/>
    <x v="0"/>
    <s v="Electronics"/>
    <s v="Keyboard"/>
    <s v="Arun"/>
    <n v="9"/>
    <n v="21000"/>
    <n v="4000"/>
    <s v="UPI"/>
  </r>
  <r>
    <n v="1014"/>
    <d v="2026-01-07T00:00:00"/>
    <s v="07"/>
    <x v="1"/>
    <s v="Electronics"/>
    <s v="Monitor"/>
    <s v="Priya"/>
    <n v="3"/>
    <n v="48000"/>
    <n v="9500"/>
    <s v="Cash"/>
  </r>
  <r>
    <n v="1015"/>
    <d v="2026-01-08T00:00:00"/>
    <s v="08"/>
    <x v="2"/>
    <s v="Accessories"/>
    <s v="Headphones"/>
    <s v="Kiran"/>
    <n v="5"/>
    <n v="10000"/>
    <n v="2100"/>
    <s v="Card"/>
  </r>
  <r>
    <n v="1016"/>
    <d v="2026-01-08T00:00:00"/>
    <s v="08"/>
    <x v="3"/>
    <s v="Electronics"/>
    <s v="Laptop"/>
    <s v="Ravi"/>
    <n v="1"/>
    <n v="47000"/>
    <n v="8000"/>
    <s v="UPI"/>
  </r>
  <r>
    <n v="1017"/>
    <d v="2026-01-09T00:00:00"/>
    <s v="09"/>
    <x v="0"/>
    <s v="Accessories"/>
    <s v="Mouse"/>
    <s v="Sita"/>
    <n v="9"/>
    <n v="16000"/>
    <n v="3200"/>
    <s v="Cash"/>
  </r>
  <r>
    <n v="1018"/>
    <d v="2026-01-09T00:00:00"/>
    <s v="09"/>
    <x v="1"/>
    <s v="Electronics"/>
    <s v="Keyboard"/>
    <s v="Arun"/>
    <n v="6"/>
    <n v="15000"/>
    <n v="3000"/>
    <s v="Card"/>
  </r>
  <r>
    <n v="1019"/>
    <d v="2026-01-10T00:00:00"/>
    <s v="10"/>
    <x v="2"/>
    <s v="Electronics"/>
    <s v="Monitor"/>
    <s v="Priya"/>
    <n v="4"/>
    <n v="60000"/>
    <n v="12000"/>
    <s v="UPI"/>
  </r>
  <r>
    <n v="1020"/>
    <d v="2026-01-10T00:00:00"/>
    <s v="10"/>
    <x v="3"/>
    <s v="Accessories"/>
    <s v="Headphones"/>
    <s v="Kiran"/>
    <n v="7"/>
    <n v="13000"/>
    <n v="2500"/>
    <s v="Cash"/>
  </r>
  <r>
    <n v="1021"/>
    <d v="2026-01-11T00:00:00"/>
    <s v="11"/>
    <x v="0"/>
    <s v="Electronics"/>
    <s v="Laptop"/>
    <s v="Ravi"/>
    <n v="2"/>
    <n v="91000"/>
    <n v="15500"/>
    <s v="Card"/>
  </r>
  <r>
    <n v="1022"/>
    <d v="2026-01-11T00:00:00"/>
    <s v="11"/>
    <x v="1"/>
    <s v="Accessories"/>
    <s v="Mouse"/>
    <s v="Sita"/>
    <n v="11"/>
    <n v="17500"/>
    <n v="3400"/>
    <s v="UPI"/>
  </r>
  <r>
    <n v="1023"/>
    <d v="2026-01-12T00:00:00"/>
    <s v="12"/>
    <x v="2"/>
    <s v="Electronics"/>
    <s v="Keyboard"/>
    <s v="Arun"/>
    <n v="5"/>
    <n v="12500"/>
    <n v="2400"/>
    <s v="Cash"/>
  </r>
  <r>
    <n v="1024"/>
    <d v="2026-01-12T00:00:00"/>
    <s v="12"/>
    <x v="3"/>
    <s v="Electronics"/>
    <s v="Monitor"/>
    <s v="Priya"/>
    <n v="3"/>
    <n v="47000"/>
    <n v="9100"/>
    <s v="Card"/>
  </r>
  <r>
    <n v="1025"/>
    <d v="2026-01-13T00:00:00"/>
    <s v="13"/>
    <x v="0"/>
    <s v="Accessories"/>
    <s v="Headphones"/>
    <s v="Kiran"/>
    <n v="6"/>
    <n v="11000"/>
    <n v="2200"/>
    <s v="UPI"/>
  </r>
  <r>
    <n v="1026"/>
    <d v="2026-01-13T00:00:00"/>
    <s v="13"/>
    <x v="1"/>
    <s v="Electronics"/>
    <s v="Laptop"/>
    <s v="Ravi"/>
    <n v="1"/>
    <n v="46000"/>
    <n v="7800"/>
    <s v="Cash"/>
  </r>
  <r>
    <n v="1027"/>
    <d v="2026-01-14T00:00:00"/>
    <s v="14"/>
    <x v="2"/>
    <s v="Accessories"/>
    <s v="Mouse"/>
    <s v="Sita"/>
    <n v="10"/>
    <n v="16500"/>
    <n v="3300"/>
    <s v="Card"/>
  </r>
  <r>
    <n v="1028"/>
    <d v="2026-01-14T00:00:00"/>
    <s v="14"/>
    <x v="3"/>
    <s v="Electronics"/>
    <s v="Keyboard"/>
    <s v="Arun"/>
    <n v="8"/>
    <n v="18500"/>
    <n v="3600"/>
    <s v="UPI"/>
  </r>
  <r>
    <n v="1029"/>
    <d v="2026-01-15T00:00:00"/>
    <s v="15"/>
    <x v="0"/>
    <s v="Electronics"/>
    <s v="Monitor"/>
    <s v="Priya"/>
    <n v="2"/>
    <n v="31000"/>
    <n v="6200"/>
    <s v="Cash"/>
  </r>
  <r>
    <n v="1030"/>
    <d v="2026-01-15T00:00:00"/>
    <s v="15"/>
    <x v="1"/>
    <s v="Accessories"/>
    <s v="Headphones"/>
    <s v="Kiran"/>
    <n v="5"/>
    <n v="10500"/>
    <n v="2100"/>
    <s v="Card"/>
  </r>
  <r>
    <n v="1031"/>
    <d v="2026-01-16T00:00:00"/>
    <s v="16"/>
    <x v="2"/>
    <s v="Electronics"/>
    <s v="Laptop"/>
    <s v="Ravi"/>
    <n v="2"/>
    <n v="93000"/>
    <n v="16200"/>
    <s v="UPI"/>
  </r>
  <r>
    <n v="1032"/>
    <d v="2026-01-16T00:00:00"/>
    <s v="16"/>
    <x v="3"/>
    <s v="Accessories"/>
    <s v="Mouse"/>
    <s v="Sita"/>
    <n v="7"/>
    <n v="13500"/>
    <n v="2600"/>
    <s v="Cash"/>
  </r>
  <r>
    <n v="1033"/>
    <d v="2026-01-17T00:00:00"/>
    <s v="17"/>
    <x v="0"/>
    <s v="Electronics"/>
    <s v="Keyboard"/>
    <s v="Arun"/>
    <n v="6"/>
    <n v="15500"/>
    <n v="3100"/>
    <s v="Card"/>
  </r>
  <r>
    <n v="1034"/>
    <d v="2026-01-17T00:00:00"/>
    <s v="17"/>
    <x v="1"/>
    <s v="Electronics"/>
    <s v="Monitor"/>
    <s v="Priya"/>
    <n v="4"/>
    <n v="62000"/>
    <n v="12400"/>
    <s v="UPI"/>
  </r>
  <r>
    <n v="1035"/>
    <d v="2026-01-18T00:00:00"/>
    <s v="18"/>
    <x v="2"/>
    <s v="Accessories"/>
    <s v="Headphones"/>
    <s v="Kiran"/>
    <n v="8"/>
    <n v="14500"/>
    <n v="2900"/>
    <s v="Cash"/>
  </r>
  <r>
    <n v="1036"/>
    <d v="2026-01-18T00:00:00"/>
    <s v="18"/>
    <x v="3"/>
    <s v="Electronics"/>
    <s v="Laptop"/>
    <s v="Ravi"/>
    <n v="1"/>
    <n v="48000"/>
    <n v="8200"/>
    <s v="Card"/>
  </r>
  <r>
    <n v="1037"/>
    <d v="2026-01-19T00:00:00"/>
    <s v="19"/>
    <x v="0"/>
    <s v="Accessories"/>
    <s v="Mouse"/>
    <s v="Sita"/>
    <n v="9"/>
    <n v="15800"/>
    <n v="3150"/>
    <s v="UPI"/>
  </r>
  <r>
    <n v="1038"/>
    <d v="2026-01-19T00:00:00"/>
    <s v="19"/>
    <x v="1"/>
    <s v="Electronics"/>
    <s v="Keyboard"/>
    <s v="Arun"/>
    <n v="7"/>
    <n v="17200"/>
    <n v="3400"/>
    <s v="Cash"/>
  </r>
  <r>
    <n v="1039"/>
    <d v="2026-01-20T00:00:00"/>
    <s v="20"/>
    <x v="2"/>
    <s v="Electronics"/>
    <s v="Monitor"/>
    <s v="Priya"/>
    <n v="3"/>
    <n v="49000"/>
    <n v="9800"/>
    <s v="Card"/>
  </r>
  <r>
    <n v="1040"/>
    <d v="2026-01-20T00:00:00"/>
    <s v="20"/>
    <x v="3"/>
    <s v="Accessories"/>
    <s v="Headphones"/>
    <s v="Kiran"/>
    <n v="6"/>
    <n v="11500"/>
    <n v="2300"/>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d v="2026-01-01T00:00:00"/>
    <x v="0"/>
    <x v="0"/>
    <x v="0"/>
    <x v="0"/>
    <x v="0"/>
    <n v="2"/>
    <n v="90000"/>
    <n v="15000"/>
    <x v="0"/>
  </r>
  <r>
    <n v="1002"/>
    <d v="2026-01-01T00:00:00"/>
    <x v="0"/>
    <x v="1"/>
    <x v="1"/>
    <x v="1"/>
    <x v="1"/>
    <n v="10"/>
    <n v="15000"/>
    <n v="3000"/>
    <x v="1"/>
  </r>
  <r>
    <n v="1003"/>
    <d v="2026-01-02T00:00:00"/>
    <x v="1"/>
    <x v="2"/>
    <x v="0"/>
    <x v="2"/>
    <x v="2"/>
    <n v="5"/>
    <n v="12000"/>
    <n v="2500"/>
    <x v="2"/>
  </r>
  <r>
    <n v="1004"/>
    <d v="2026-01-02T00:00:00"/>
    <x v="1"/>
    <x v="3"/>
    <x v="0"/>
    <x v="3"/>
    <x v="3"/>
    <n v="3"/>
    <n v="45000"/>
    <n v="9000"/>
    <x v="0"/>
  </r>
  <r>
    <n v="1005"/>
    <d v="2026-01-03T00:00:00"/>
    <x v="2"/>
    <x v="0"/>
    <x v="1"/>
    <x v="4"/>
    <x v="4"/>
    <n v="4"/>
    <n v="8000"/>
    <n v="2000"/>
    <x v="1"/>
  </r>
  <r>
    <n v="1006"/>
    <d v="2026-01-03T00:00:00"/>
    <x v="2"/>
    <x v="1"/>
    <x v="0"/>
    <x v="0"/>
    <x v="0"/>
    <n v="1"/>
    <n v="45000"/>
    <n v="7000"/>
    <x v="2"/>
  </r>
  <r>
    <n v="1007"/>
    <d v="2026-01-04T00:00:00"/>
    <x v="3"/>
    <x v="2"/>
    <x v="1"/>
    <x v="1"/>
    <x v="1"/>
    <n v="12"/>
    <n v="18000"/>
    <n v="3500"/>
    <x v="0"/>
  </r>
  <r>
    <n v="1008"/>
    <d v="2026-01-04T00:00:00"/>
    <x v="3"/>
    <x v="3"/>
    <x v="0"/>
    <x v="2"/>
    <x v="2"/>
    <n v="7"/>
    <n v="17000"/>
    <n v="3200"/>
    <x v="1"/>
  </r>
  <r>
    <n v="1009"/>
    <d v="2026-01-05T00:00:00"/>
    <x v="4"/>
    <x v="0"/>
    <x v="0"/>
    <x v="3"/>
    <x v="3"/>
    <n v="2"/>
    <n v="30000"/>
    <n v="6000"/>
    <x v="2"/>
  </r>
  <r>
    <n v="1010"/>
    <d v="2026-01-05T00:00:00"/>
    <x v="4"/>
    <x v="1"/>
    <x v="1"/>
    <x v="4"/>
    <x v="4"/>
    <n v="6"/>
    <n v="12000"/>
    <n v="2400"/>
    <x v="0"/>
  </r>
  <r>
    <n v="1011"/>
    <d v="2026-01-06T00:00:00"/>
    <x v="5"/>
    <x v="2"/>
    <x v="0"/>
    <x v="0"/>
    <x v="0"/>
    <n v="2"/>
    <n v="92000"/>
    <n v="16000"/>
    <x v="1"/>
  </r>
  <r>
    <n v="1012"/>
    <d v="2026-01-06T00:00:00"/>
    <x v="5"/>
    <x v="3"/>
    <x v="1"/>
    <x v="1"/>
    <x v="1"/>
    <n v="8"/>
    <n v="14000"/>
    <n v="2800"/>
    <x v="2"/>
  </r>
  <r>
    <n v="1013"/>
    <d v="2026-01-07T00:00:00"/>
    <x v="6"/>
    <x v="0"/>
    <x v="0"/>
    <x v="2"/>
    <x v="2"/>
    <n v="9"/>
    <n v="21000"/>
    <n v="4000"/>
    <x v="0"/>
  </r>
  <r>
    <n v="1014"/>
    <d v="2026-01-07T00:00:00"/>
    <x v="6"/>
    <x v="1"/>
    <x v="0"/>
    <x v="3"/>
    <x v="3"/>
    <n v="3"/>
    <n v="48000"/>
    <n v="9500"/>
    <x v="1"/>
  </r>
  <r>
    <n v="1015"/>
    <d v="2026-01-08T00:00:00"/>
    <x v="7"/>
    <x v="2"/>
    <x v="1"/>
    <x v="4"/>
    <x v="4"/>
    <n v="5"/>
    <n v="10000"/>
    <n v="2100"/>
    <x v="2"/>
  </r>
  <r>
    <n v="1016"/>
    <d v="2026-01-08T00:00:00"/>
    <x v="7"/>
    <x v="3"/>
    <x v="0"/>
    <x v="0"/>
    <x v="0"/>
    <n v="1"/>
    <n v="47000"/>
    <n v="8000"/>
    <x v="0"/>
  </r>
  <r>
    <n v="1017"/>
    <d v="2026-01-09T00:00:00"/>
    <x v="8"/>
    <x v="0"/>
    <x v="1"/>
    <x v="1"/>
    <x v="1"/>
    <n v="9"/>
    <n v="16000"/>
    <n v="3200"/>
    <x v="1"/>
  </r>
  <r>
    <n v="1018"/>
    <d v="2026-01-09T00:00:00"/>
    <x v="8"/>
    <x v="1"/>
    <x v="0"/>
    <x v="2"/>
    <x v="2"/>
    <n v="6"/>
    <n v="15000"/>
    <n v="3000"/>
    <x v="2"/>
  </r>
  <r>
    <n v="1019"/>
    <d v="2026-01-10T00:00:00"/>
    <x v="9"/>
    <x v="2"/>
    <x v="0"/>
    <x v="3"/>
    <x v="3"/>
    <n v="4"/>
    <n v="60000"/>
    <n v="12000"/>
    <x v="0"/>
  </r>
  <r>
    <n v="1020"/>
    <d v="2026-01-10T00:00:00"/>
    <x v="9"/>
    <x v="3"/>
    <x v="1"/>
    <x v="4"/>
    <x v="4"/>
    <n v="7"/>
    <n v="13000"/>
    <n v="2500"/>
    <x v="1"/>
  </r>
  <r>
    <n v="1021"/>
    <d v="2026-01-11T00:00:00"/>
    <x v="10"/>
    <x v="0"/>
    <x v="0"/>
    <x v="0"/>
    <x v="0"/>
    <n v="2"/>
    <n v="91000"/>
    <n v="15500"/>
    <x v="2"/>
  </r>
  <r>
    <n v="1022"/>
    <d v="2026-01-11T00:00:00"/>
    <x v="10"/>
    <x v="1"/>
    <x v="1"/>
    <x v="1"/>
    <x v="1"/>
    <n v="11"/>
    <n v="17500"/>
    <n v="3400"/>
    <x v="0"/>
  </r>
  <r>
    <n v="1023"/>
    <d v="2026-01-12T00:00:00"/>
    <x v="11"/>
    <x v="2"/>
    <x v="0"/>
    <x v="2"/>
    <x v="2"/>
    <n v="5"/>
    <n v="12500"/>
    <n v="2400"/>
    <x v="1"/>
  </r>
  <r>
    <n v="1024"/>
    <d v="2026-01-12T00:00:00"/>
    <x v="11"/>
    <x v="3"/>
    <x v="0"/>
    <x v="3"/>
    <x v="3"/>
    <n v="3"/>
    <n v="47000"/>
    <n v="9100"/>
    <x v="2"/>
  </r>
  <r>
    <n v="1025"/>
    <d v="2026-01-13T00:00:00"/>
    <x v="12"/>
    <x v="0"/>
    <x v="1"/>
    <x v="4"/>
    <x v="4"/>
    <n v="6"/>
    <n v="11000"/>
    <n v="2200"/>
    <x v="0"/>
  </r>
  <r>
    <n v="1026"/>
    <d v="2026-01-13T00:00:00"/>
    <x v="12"/>
    <x v="1"/>
    <x v="0"/>
    <x v="0"/>
    <x v="0"/>
    <n v="1"/>
    <n v="46000"/>
    <n v="7800"/>
    <x v="1"/>
  </r>
  <r>
    <n v="1027"/>
    <d v="2026-01-14T00:00:00"/>
    <x v="13"/>
    <x v="2"/>
    <x v="1"/>
    <x v="1"/>
    <x v="1"/>
    <n v="10"/>
    <n v="16500"/>
    <n v="3300"/>
    <x v="2"/>
  </r>
  <r>
    <n v="1028"/>
    <d v="2026-01-14T00:00:00"/>
    <x v="13"/>
    <x v="3"/>
    <x v="0"/>
    <x v="2"/>
    <x v="2"/>
    <n v="8"/>
    <n v="18500"/>
    <n v="3600"/>
    <x v="0"/>
  </r>
  <r>
    <n v="1029"/>
    <d v="2026-01-15T00:00:00"/>
    <x v="14"/>
    <x v="0"/>
    <x v="0"/>
    <x v="3"/>
    <x v="3"/>
    <n v="2"/>
    <n v="31000"/>
    <n v="6200"/>
    <x v="1"/>
  </r>
  <r>
    <n v="1030"/>
    <d v="2026-01-15T00:00:00"/>
    <x v="14"/>
    <x v="1"/>
    <x v="1"/>
    <x v="4"/>
    <x v="4"/>
    <n v="5"/>
    <n v="10500"/>
    <n v="2100"/>
    <x v="2"/>
  </r>
  <r>
    <n v="1031"/>
    <d v="2026-01-16T00:00:00"/>
    <x v="15"/>
    <x v="2"/>
    <x v="0"/>
    <x v="0"/>
    <x v="0"/>
    <n v="2"/>
    <n v="93000"/>
    <n v="16200"/>
    <x v="0"/>
  </r>
  <r>
    <n v="1032"/>
    <d v="2026-01-16T00:00:00"/>
    <x v="15"/>
    <x v="3"/>
    <x v="1"/>
    <x v="1"/>
    <x v="1"/>
    <n v="7"/>
    <n v="13500"/>
    <n v="2600"/>
    <x v="1"/>
  </r>
  <r>
    <n v="1033"/>
    <d v="2026-01-17T00:00:00"/>
    <x v="16"/>
    <x v="0"/>
    <x v="0"/>
    <x v="2"/>
    <x v="2"/>
    <n v="6"/>
    <n v="15500"/>
    <n v="3100"/>
    <x v="2"/>
  </r>
  <r>
    <n v="1034"/>
    <d v="2026-01-17T00:00:00"/>
    <x v="16"/>
    <x v="1"/>
    <x v="0"/>
    <x v="3"/>
    <x v="3"/>
    <n v="4"/>
    <n v="62000"/>
    <n v="12400"/>
    <x v="0"/>
  </r>
  <r>
    <n v="1035"/>
    <d v="2026-01-18T00:00:00"/>
    <x v="17"/>
    <x v="2"/>
    <x v="1"/>
    <x v="4"/>
    <x v="4"/>
    <n v="8"/>
    <n v="14500"/>
    <n v="2900"/>
    <x v="1"/>
  </r>
  <r>
    <n v="1036"/>
    <d v="2026-01-18T00:00:00"/>
    <x v="17"/>
    <x v="3"/>
    <x v="0"/>
    <x v="0"/>
    <x v="0"/>
    <n v="1"/>
    <n v="48000"/>
    <n v="8200"/>
    <x v="2"/>
  </r>
  <r>
    <n v="1037"/>
    <d v="2026-01-19T00:00:00"/>
    <x v="18"/>
    <x v="0"/>
    <x v="1"/>
    <x v="1"/>
    <x v="1"/>
    <n v="9"/>
    <n v="15800"/>
    <n v="3150"/>
    <x v="0"/>
  </r>
  <r>
    <n v="1038"/>
    <d v="2026-01-19T00:00:00"/>
    <x v="18"/>
    <x v="1"/>
    <x v="0"/>
    <x v="2"/>
    <x v="2"/>
    <n v="7"/>
    <n v="17200"/>
    <n v="3400"/>
    <x v="1"/>
  </r>
  <r>
    <n v="1039"/>
    <d v="2026-01-20T00:00:00"/>
    <x v="19"/>
    <x v="2"/>
    <x v="0"/>
    <x v="3"/>
    <x v="3"/>
    <n v="3"/>
    <n v="49000"/>
    <n v="9800"/>
    <x v="2"/>
  </r>
  <r>
    <n v="1040"/>
    <d v="2026-01-20T00:00:00"/>
    <x v="19"/>
    <x v="3"/>
    <x v="1"/>
    <x v="4"/>
    <x v="4"/>
    <n v="6"/>
    <n v="11500"/>
    <n v="230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d v="2026-01-01T00:00:00"/>
    <x v="0"/>
    <x v="0"/>
    <s v="Electronics"/>
    <s v="Laptop"/>
    <s v="Ravi"/>
    <n v="2"/>
    <n v="90000"/>
    <n v="15000"/>
    <x v="0"/>
  </r>
  <r>
    <n v="1002"/>
    <d v="2026-01-02T00:00:00"/>
    <x v="0"/>
    <x v="1"/>
    <s v="Accessories"/>
    <s v="Mouse"/>
    <s v="Sita"/>
    <n v="10"/>
    <n v="15000"/>
    <n v="3000"/>
    <x v="1"/>
  </r>
  <r>
    <n v="1003"/>
    <d v="2026-01-03T00:00:00"/>
    <x v="0"/>
    <x v="2"/>
    <s v="Electronics"/>
    <s v="Keyboard"/>
    <s v="Arun"/>
    <n v="5"/>
    <n v="12000"/>
    <n v="2500"/>
    <x v="2"/>
  </r>
  <r>
    <n v="1004"/>
    <d v="2026-01-04T00:00:00"/>
    <x v="0"/>
    <x v="3"/>
    <s v="Electronics"/>
    <s v="Monitor"/>
    <s v="Priya"/>
    <n v="3"/>
    <n v="45000"/>
    <n v="9000"/>
    <x v="0"/>
  </r>
  <r>
    <n v="1005"/>
    <d v="2026-01-05T00:00:00"/>
    <x v="0"/>
    <x v="0"/>
    <s v="Accessories"/>
    <s v="Headphones"/>
    <s v="Kiran"/>
    <n v="4"/>
    <n v="8000"/>
    <n v="2000"/>
    <x v="1"/>
  </r>
  <r>
    <n v="1006"/>
    <d v="2026-02-01T00:00:00"/>
    <x v="1"/>
    <x v="1"/>
    <s v="Electronics"/>
    <s v="Laptop"/>
    <s v="Ravi"/>
    <n v="1"/>
    <n v="45000"/>
    <n v="7000"/>
    <x v="2"/>
  </r>
  <r>
    <n v="1007"/>
    <d v="2026-02-02T00:00:00"/>
    <x v="1"/>
    <x v="2"/>
    <s v="Accessories"/>
    <s v="Mouse"/>
    <s v="Sita"/>
    <n v="12"/>
    <n v="18000"/>
    <n v="3500"/>
    <x v="0"/>
  </r>
  <r>
    <n v="1008"/>
    <d v="2026-02-03T00:00:00"/>
    <x v="1"/>
    <x v="3"/>
    <s v="Electronics"/>
    <s v="Keyboard"/>
    <s v="Arun"/>
    <n v="7"/>
    <n v="17000"/>
    <n v="3200"/>
    <x v="1"/>
  </r>
  <r>
    <n v="1009"/>
    <d v="2026-02-04T00:00:00"/>
    <x v="1"/>
    <x v="0"/>
    <s v="Electronics"/>
    <s v="Monitor"/>
    <s v="Priya"/>
    <n v="2"/>
    <n v="30000"/>
    <n v="6000"/>
    <x v="2"/>
  </r>
  <r>
    <n v="1010"/>
    <d v="2026-02-05T00:00:00"/>
    <x v="1"/>
    <x v="1"/>
    <s v="Accessories"/>
    <s v="Headphones"/>
    <s v="Kiran"/>
    <n v="6"/>
    <n v="12000"/>
    <n v="2400"/>
    <x v="0"/>
  </r>
  <r>
    <n v="1011"/>
    <d v="2026-03-06T00:00:00"/>
    <x v="2"/>
    <x v="2"/>
    <s v="Electronics"/>
    <s v="Laptop"/>
    <s v="Ravi"/>
    <n v="2"/>
    <n v="92000"/>
    <n v="16000"/>
    <x v="1"/>
  </r>
  <r>
    <n v="1012"/>
    <d v="2026-03-07T00:00:00"/>
    <x v="2"/>
    <x v="3"/>
    <s v="Accessories"/>
    <s v="Mouse"/>
    <s v="Sita"/>
    <n v="8"/>
    <n v="14000"/>
    <n v="2800"/>
    <x v="2"/>
  </r>
  <r>
    <n v="1013"/>
    <d v="2026-03-08T00:00:00"/>
    <x v="2"/>
    <x v="0"/>
    <s v="Electronics"/>
    <s v="Keyboard"/>
    <s v="Arun"/>
    <n v="9"/>
    <n v="21000"/>
    <n v="4000"/>
    <x v="0"/>
  </r>
  <r>
    <n v="1014"/>
    <d v="2026-03-09T00:00:00"/>
    <x v="2"/>
    <x v="1"/>
    <s v="Electronics"/>
    <s v="Monitor"/>
    <s v="Priya"/>
    <n v="3"/>
    <n v="48000"/>
    <n v="9500"/>
    <x v="1"/>
  </r>
  <r>
    <n v="1015"/>
    <d v="2026-03-10T00:00:00"/>
    <x v="2"/>
    <x v="2"/>
    <s v="Accessories"/>
    <s v="Headphones"/>
    <s v="Kiran"/>
    <n v="5"/>
    <n v="10000"/>
    <n v="2100"/>
    <x v="2"/>
  </r>
  <r>
    <n v="1016"/>
    <d v="2026-04-08T00:00:00"/>
    <x v="3"/>
    <x v="3"/>
    <s v="Electronics"/>
    <s v="Laptop"/>
    <s v="Ravi"/>
    <n v="1"/>
    <n v="47000"/>
    <n v="8000"/>
    <x v="0"/>
  </r>
  <r>
    <n v="1017"/>
    <d v="2026-04-09T00:00:00"/>
    <x v="3"/>
    <x v="0"/>
    <s v="Accessories"/>
    <s v="Mouse"/>
    <s v="Sita"/>
    <n v="9"/>
    <n v="16000"/>
    <n v="3200"/>
    <x v="1"/>
  </r>
  <r>
    <n v="1018"/>
    <d v="2026-04-10T00:00:00"/>
    <x v="3"/>
    <x v="1"/>
    <s v="Electronics"/>
    <s v="Keyboard"/>
    <s v="Arun"/>
    <n v="6"/>
    <n v="15000"/>
    <n v="3000"/>
    <x v="2"/>
  </r>
  <r>
    <n v="1019"/>
    <d v="2026-04-11T00:00:00"/>
    <x v="3"/>
    <x v="2"/>
    <s v="Electronics"/>
    <s v="Monitor"/>
    <s v="Priya"/>
    <n v="4"/>
    <n v="60000"/>
    <n v="12000"/>
    <x v="0"/>
  </r>
  <r>
    <n v="1020"/>
    <d v="2026-04-12T00:00:00"/>
    <x v="3"/>
    <x v="3"/>
    <s v="Accessories"/>
    <s v="Headphones"/>
    <s v="Kiran"/>
    <n v="7"/>
    <n v="13000"/>
    <n v="2500"/>
    <x v="1"/>
  </r>
  <r>
    <n v="1021"/>
    <d v="2026-05-01T00:00:00"/>
    <x v="4"/>
    <x v="0"/>
    <s v="Electronics"/>
    <s v="Laptop"/>
    <s v="Ravi"/>
    <n v="2"/>
    <n v="91000"/>
    <n v="15500"/>
    <x v="2"/>
  </r>
  <r>
    <n v="1022"/>
    <d v="2026-05-02T00:00:00"/>
    <x v="4"/>
    <x v="1"/>
    <s v="Accessories"/>
    <s v="Mouse"/>
    <s v="Sita"/>
    <n v="11"/>
    <n v="17500"/>
    <n v="3400"/>
    <x v="0"/>
  </r>
  <r>
    <n v="1023"/>
    <d v="2026-05-03T00:00:00"/>
    <x v="4"/>
    <x v="2"/>
    <s v="Electronics"/>
    <s v="Keyboard"/>
    <s v="Arun"/>
    <n v="5"/>
    <n v="12500"/>
    <n v="2400"/>
    <x v="1"/>
  </r>
  <r>
    <n v="1024"/>
    <d v="2026-05-04T00:00:00"/>
    <x v="4"/>
    <x v="3"/>
    <s v="Electronics"/>
    <s v="Monitor"/>
    <s v="Priya"/>
    <n v="3"/>
    <n v="47000"/>
    <n v="9100"/>
    <x v="2"/>
  </r>
  <r>
    <n v="1025"/>
    <d v="2026-05-05T00:00:00"/>
    <x v="4"/>
    <x v="0"/>
    <s v="Accessories"/>
    <s v="Headphones"/>
    <s v="Kiran"/>
    <n v="6"/>
    <n v="11000"/>
    <n v="2200"/>
    <x v="0"/>
  </r>
  <r>
    <n v="1026"/>
    <d v="2026-06-09T00:00:00"/>
    <x v="5"/>
    <x v="1"/>
    <s v="Electronics"/>
    <s v="Laptop"/>
    <s v="Ravi"/>
    <n v="1"/>
    <n v="46000"/>
    <n v="7800"/>
    <x v="1"/>
  </r>
  <r>
    <n v="1027"/>
    <d v="2026-06-10T00:00:00"/>
    <x v="5"/>
    <x v="2"/>
    <s v="Accessories"/>
    <s v="Mouse"/>
    <s v="Sita"/>
    <n v="10"/>
    <n v="16500"/>
    <n v="3300"/>
    <x v="2"/>
  </r>
  <r>
    <n v="1028"/>
    <d v="2026-06-11T00:00:00"/>
    <x v="5"/>
    <x v="3"/>
    <s v="Electronics"/>
    <s v="Keyboard"/>
    <s v="Arun"/>
    <n v="8"/>
    <n v="18500"/>
    <n v="3600"/>
    <x v="0"/>
  </r>
  <r>
    <n v="1029"/>
    <d v="2026-06-12T00:00:00"/>
    <x v="5"/>
    <x v="0"/>
    <s v="Electronics"/>
    <s v="Monitor"/>
    <s v="Priya"/>
    <n v="2"/>
    <n v="31000"/>
    <n v="6200"/>
    <x v="1"/>
  </r>
  <r>
    <n v="1030"/>
    <d v="2026-06-13T00:00:00"/>
    <x v="5"/>
    <x v="1"/>
    <s v="Accessories"/>
    <s v="Headphones"/>
    <s v="Kiran"/>
    <n v="5"/>
    <n v="10500"/>
    <n v="2100"/>
    <x v="2"/>
  </r>
  <r>
    <n v="1031"/>
    <d v="2026-07-16T00:00:00"/>
    <x v="6"/>
    <x v="2"/>
    <s v="Electronics"/>
    <s v="Laptop"/>
    <s v="Ravi"/>
    <n v="2"/>
    <n v="93000"/>
    <n v="16200"/>
    <x v="0"/>
  </r>
  <r>
    <n v="1032"/>
    <d v="2026-07-17T00:00:00"/>
    <x v="6"/>
    <x v="3"/>
    <s v="Accessories"/>
    <s v="Mouse"/>
    <s v="Sita"/>
    <n v="7"/>
    <n v="13500"/>
    <n v="2600"/>
    <x v="1"/>
  </r>
  <r>
    <n v="1033"/>
    <d v="2026-07-18T00:00:00"/>
    <x v="6"/>
    <x v="0"/>
    <s v="Electronics"/>
    <s v="Keyboard"/>
    <s v="Arun"/>
    <n v="6"/>
    <n v="15500"/>
    <n v="3100"/>
    <x v="2"/>
  </r>
  <r>
    <n v="1034"/>
    <d v="2026-07-19T00:00:00"/>
    <x v="6"/>
    <x v="1"/>
    <s v="Electronics"/>
    <s v="Monitor"/>
    <s v="Priya"/>
    <n v="4"/>
    <n v="62000"/>
    <n v="12400"/>
    <x v="0"/>
  </r>
  <r>
    <n v="1035"/>
    <d v="2026-07-20T00:00:00"/>
    <x v="6"/>
    <x v="2"/>
    <s v="Accessories"/>
    <s v="Headphones"/>
    <s v="Kiran"/>
    <n v="8"/>
    <n v="14500"/>
    <n v="2900"/>
    <x v="1"/>
  </r>
  <r>
    <n v="1036"/>
    <d v="2026-08-18T00:00:00"/>
    <x v="7"/>
    <x v="3"/>
    <s v="Electronics"/>
    <s v="Laptop"/>
    <s v="Ravi"/>
    <n v="1"/>
    <n v="48000"/>
    <n v="8200"/>
    <x v="2"/>
  </r>
  <r>
    <n v="1037"/>
    <d v="2026-08-19T00:00:00"/>
    <x v="7"/>
    <x v="0"/>
    <s v="Accessories"/>
    <s v="Mouse"/>
    <s v="Sita"/>
    <n v="9"/>
    <n v="15800"/>
    <n v="3150"/>
    <x v="0"/>
  </r>
  <r>
    <n v="1038"/>
    <d v="2026-08-20T00:00:00"/>
    <x v="7"/>
    <x v="1"/>
    <s v="Electronics"/>
    <s v="Keyboard"/>
    <s v="Arun"/>
    <n v="7"/>
    <n v="17200"/>
    <n v="3400"/>
    <x v="1"/>
  </r>
  <r>
    <n v="1039"/>
    <d v="2026-08-21T00:00:00"/>
    <x v="7"/>
    <x v="2"/>
    <s v="Electronics"/>
    <s v="Monitor"/>
    <s v="Priya"/>
    <n v="3"/>
    <n v="49000"/>
    <n v="9800"/>
    <x v="2"/>
  </r>
  <r>
    <n v="1040"/>
    <d v="2026-08-22T00:00:00"/>
    <x v="7"/>
    <x v="3"/>
    <s v="Accessories"/>
    <s v="Headphones"/>
    <s v="Kiran"/>
    <n v="6"/>
    <n v="11500"/>
    <n v="23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E17FAC-E34C-4840-9121-3CEA4306D013}" name="PivotTable9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5:T14" firstHeaderRow="1" firstDataRow="1" firstDataCol="1"/>
  <pivotFields count="11">
    <pivotField showAll="0"/>
    <pivotField numFmtId="14" showAll="0"/>
    <pivotField axis="axisRow" showAll="0">
      <items count="9">
        <item x="0"/>
        <item x="1"/>
        <item x="2"/>
        <item x="3"/>
        <item x="4"/>
        <item x="5"/>
        <item x="6"/>
        <item x="7"/>
        <item t="default"/>
      </items>
    </pivotField>
    <pivotField showAll="0">
      <items count="5">
        <item x="2"/>
        <item x="1"/>
        <item x="0"/>
        <item x="3"/>
        <item t="default"/>
      </items>
    </pivotField>
    <pivotField showAll="0"/>
    <pivotField showAll="0"/>
    <pivotField showAll="0"/>
    <pivotField showAll="0"/>
    <pivotField dataField="1" showAll="0"/>
    <pivotField showAll="0"/>
    <pivotField showAll="0">
      <items count="4">
        <item x="2"/>
        <item x="1"/>
        <item x="0"/>
        <item t="default"/>
      </items>
    </pivotField>
  </pivotFields>
  <rowFields count="1">
    <field x="2"/>
  </rowFields>
  <rowItems count="9">
    <i>
      <x/>
    </i>
    <i>
      <x v="1"/>
    </i>
    <i>
      <x v="2"/>
    </i>
    <i>
      <x v="3"/>
    </i>
    <i>
      <x v="4"/>
    </i>
    <i>
      <x v="5"/>
    </i>
    <i>
      <x v="6"/>
    </i>
    <i>
      <x v="7"/>
    </i>
    <i t="grand">
      <x/>
    </i>
  </rowItems>
  <colItems count="1">
    <i/>
  </colItems>
  <dataFields count="1">
    <dataField name="Sum of Sales" fld="8" baseField="0" baseItem="0"/>
  </dataFields>
  <formats count="6">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axis="axisValues" fieldPosition="0"/>
    </format>
  </formats>
  <conditionalFormats count="2">
    <conditionalFormat priority="2">
      <pivotAreas count="1">
        <pivotArea type="data" collapsedLevelsAreSubtotals="1" fieldPosition="0">
          <references count="2">
            <reference field="4294967294" count="1" selected="0">
              <x v="0"/>
            </reference>
            <reference field="2" count="8">
              <x v="0"/>
              <x v="1"/>
              <x v="2"/>
              <x v="3"/>
              <x v="4"/>
              <x v="5"/>
              <x v="6"/>
              <x v="7"/>
            </reference>
          </references>
        </pivotArea>
      </pivotAreas>
    </conditionalFormat>
    <conditionalFormat priority="1">
      <pivotAreas count="1">
        <pivotArea type="data" collapsedLevelsAreSubtotals="1" fieldPosition="0">
          <references count="2">
            <reference field="4294967294" count="1" selected="0">
              <x v="0"/>
            </reference>
            <reference field="2" count="8">
              <x v="0"/>
              <x v="1"/>
              <x v="2"/>
              <x v="3"/>
              <x v="4"/>
              <x v="5"/>
              <x v="6"/>
              <x v="7"/>
            </reference>
          </references>
        </pivotArea>
      </pivotAreas>
    </conditionalFormat>
  </conditionalFormats>
  <chartFormats count="1">
    <chartFormat chart="3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67A16-883B-4A6C-B9E0-623CE330F6FC}" name="PivotTable9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M9" firstHeaderRow="0" firstDataRow="1" firstDataCol="1"/>
  <pivotFields count="11">
    <pivotField showAll="0"/>
    <pivotField numFmtId="14" showAll="0"/>
    <pivotField showAll="0"/>
    <pivotField showAll="0">
      <items count="5">
        <item x="2"/>
        <item x="1"/>
        <item x="0"/>
        <item x="3"/>
        <item t="default"/>
      </items>
    </pivotField>
    <pivotField showAll="0">
      <items count="3">
        <item x="1"/>
        <item x="0"/>
        <item t="default"/>
      </items>
    </pivotField>
    <pivotField showAll="0"/>
    <pivotField showAll="0">
      <items count="6">
        <item x="2"/>
        <item x="4"/>
        <item x="3"/>
        <item x="0"/>
        <item x="1"/>
        <item t="default"/>
      </items>
    </pivotField>
    <pivotField dataField="1" showAll="0"/>
    <pivotField dataField="1" showAll="0"/>
    <pivotField showAll="0"/>
    <pivotField axis="axisRow" showAll="0">
      <items count="4">
        <item x="2"/>
        <item x="1"/>
        <item x="0"/>
        <item t="default"/>
      </items>
    </pivotField>
  </pivotFields>
  <rowFields count="1">
    <field x="10"/>
  </rowFields>
  <rowItems count="4">
    <i>
      <x/>
    </i>
    <i>
      <x v="1"/>
    </i>
    <i>
      <x v="2"/>
    </i>
    <i t="grand">
      <x/>
    </i>
  </rowItems>
  <colFields count="1">
    <field x="-2"/>
  </colFields>
  <colItems count="2">
    <i>
      <x/>
    </i>
    <i i="1">
      <x v="1"/>
    </i>
  </colItems>
  <dataFields count="2">
    <dataField name="Sum of Units" fld="7" baseField="0" baseItem="0"/>
    <dataField name="Sum of Sales" fld="8" baseField="0" baseItem="0"/>
  </dataFields>
  <formats count="6">
    <format dxfId="24">
      <pivotArea type="all" dataOnly="0" outline="0" fieldPosition="0"/>
    </format>
    <format dxfId="23">
      <pivotArea outline="0" collapsedLevelsAreSubtotals="1" fieldPosition="0"/>
    </format>
    <format dxfId="22">
      <pivotArea field="10" type="button" dataOnly="0" labelOnly="1" outline="0" axis="axisRow" fieldPosition="0"/>
    </format>
    <format dxfId="21">
      <pivotArea dataOnly="0" labelOnly="1" fieldPosition="0">
        <references count="1">
          <reference field="10"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s>
  <conditionalFormats count="2">
    <conditionalFormat priority="4">
      <pivotAreas count="1">
        <pivotArea type="data" collapsedLevelsAreSubtotals="1" fieldPosition="0">
          <references count="2">
            <reference field="4294967294" count="1" selected="0">
              <x v="1"/>
            </reference>
            <reference field="10" count="3">
              <x v="0"/>
              <x v="1"/>
              <x v="2"/>
            </reference>
          </references>
        </pivotArea>
      </pivotAreas>
    </conditionalFormat>
    <conditionalFormat priority="3">
      <pivotAreas count="1">
        <pivotArea type="data" collapsedLevelsAreSubtotals="1" fieldPosition="0">
          <references count="2">
            <reference field="4294967294" count="1" selected="0">
              <x v="1"/>
            </reference>
            <reference field="10"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345DA-16FC-4BB8-86B5-52EB5D65F40F}" name="PivotTable9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1" firstHeaderRow="1" firstDataRow="1" firstDataCol="1"/>
  <pivotFields count="11">
    <pivotField showAll="0"/>
    <pivotField numFmtId="14" showAll="0"/>
    <pivotField showAll="0"/>
    <pivotField showAll="0">
      <items count="5">
        <item x="2"/>
        <item x="1"/>
        <item x="0"/>
        <item x="3"/>
        <item t="default"/>
      </items>
    </pivotField>
    <pivotField showAll="0">
      <items count="3">
        <item x="1"/>
        <item x="0"/>
        <item t="default"/>
      </items>
    </pivotField>
    <pivotField showAll="0"/>
    <pivotField axis="axisRow" showAll="0">
      <items count="6">
        <item x="2"/>
        <item x="4"/>
        <item x="3"/>
        <item x="0"/>
        <item x="1"/>
        <item t="default"/>
      </items>
    </pivotField>
    <pivotField showAll="0"/>
    <pivotField dataField="1" showAll="0"/>
    <pivotField showAll="0"/>
    <pivotField showAll="0">
      <items count="4">
        <item x="2"/>
        <item x="1"/>
        <item x="0"/>
        <item t="default"/>
      </items>
    </pivotField>
  </pivotFields>
  <rowFields count="1">
    <field x="6"/>
  </rowFields>
  <rowItems count="6">
    <i>
      <x/>
    </i>
    <i>
      <x v="1"/>
    </i>
    <i>
      <x v="2"/>
    </i>
    <i>
      <x v="3"/>
    </i>
    <i>
      <x v="4"/>
    </i>
    <i t="grand">
      <x/>
    </i>
  </rowItems>
  <colItems count="1">
    <i/>
  </colItems>
  <dataFields count="1">
    <dataField name="Sum of Sales" fld="8" baseField="0" baseItem="0"/>
  </dataFields>
  <formats count="7">
    <format dxfId="31">
      <pivotArea type="all" dataOnly="0" outline="0" fieldPosition="0"/>
    </format>
    <format dxfId="30">
      <pivotArea field="6" type="button" dataOnly="0" labelOnly="1" outline="0" axis="axisRow" fieldPosition="0"/>
    </format>
    <format dxfId="29">
      <pivotArea dataOnly="0" labelOnly="1" outline="0" fieldPosition="0">
        <references count="1">
          <reference field="4294967294" count="1">
            <x v="0"/>
          </reference>
        </references>
      </pivotArea>
    </format>
    <format dxfId="28">
      <pivotArea field="6" type="button" dataOnly="0" labelOnly="1" outline="0" axis="axisRow" fieldPosition="0"/>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s>
  <conditionalFormats count="2">
    <conditionalFormat priority="6">
      <pivotAreas count="1">
        <pivotArea type="data" collapsedLevelsAreSubtotals="1" fieldPosition="0">
          <references count="2">
            <reference field="4294967294" count="1" selected="0">
              <x v="0"/>
            </reference>
            <reference field="6" count="5">
              <x v="0"/>
              <x v="1"/>
              <x v="2"/>
              <x v="3"/>
              <x v="4"/>
            </reference>
          </references>
        </pivotArea>
      </pivotAreas>
    </conditionalFormat>
    <conditionalFormat priority="5">
      <pivotAreas count="1">
        <pivotArea type="data" collapsedLevelsAreSubtotals="1" fieldPosition="0">
          <references count="2">
            <reference field="4294967294" count="1" selected="0">
              <x v="0"/>
            </reference>
            <reference field="6" count="5">
              <x v="0"/>
              <x v="1"/>
              <x v="2"/>
              <x v="3"/>
              <x v="4"/>
            </reference>
          </references>
        </pivotArea>
      </pivotAreas>
    </conditionalFormat>
  </conditional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7F4F7-C982-48F2-ADCE-F318D5E6B630}" name="PivotTable9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5:Q13" firstHeaderRow="0" firstDataRow="1" firstDataCol="1"/>
  <pivotFields count="11">
    <pivotField showAll="0"/>
    <pivotField numFmtId="14" showAll="0"/>
    <pivotField showAll="0"/>
    <pivotField showAll="0">
      <items count="5">
        <item x="2"/>
        <item x="1"/>
        <item x="0"/>
        <item x="3"/>
        <item t="default"/>
      </items>
    </pivotField>
    <pivotField axis="axisRow" showAll="0">
      <items count="3">
        <item x="1"/>
        <item x="0"/>
        <item t="default"/>
      </items>
    </pivotField>
    <pivotField axis="axisRow" showAll="0">
      <items count="6">
        <item x="4"/>
        <item x="2"/>
        <item x="0"/>
        <item x="3"/>
        <item x="1"/>
        <item t="default"/>
      </items>
    </pivotField>
    <pivotField showAll="0">
      <items count="6">
        <item x="2"/>
        <item x="4"/>
        <item x="3"/>
        <item x="0"/>
        <item x="1"/>
        <item t="default"/>
      </items>
    </pivotField>
    <pivotField dataField="1" showAll="0"/>
    <pivotField showAll="0"/>
    <pivotField dataField="1" showAll="0"/>
    <pivotField showAll="0">
      <items count="4">
        <item x="2"/>
        <item x="1"/>
        <item x="0"/>
        <item t="default"/>
      </items>
    </pivotField>
  </pivotFields>
  <rowFields count="2">
    <field x="4"/>
    <field x="5"/>
  </rowFields>
  <rowItems count="8">
    <i>
      <x/>
    </i>
    <i r="1">
      <x/>
    </i>
    <i r="1">
      <x v="4"/>
    </i>
    <i>
      <x v="1"/>
    </i>
    <i r="1">
      <x v="1"/>
    </i>
    <i r="1">
      <x v="2"/>
    </i>
    <i r="1">
      <x v="3"/>
    </i>
    <i t="grand">
      <x/>
    </i>
  </rowItems>
  <colFields count="1">
    <field x="-2"/>
  </colFields>
  <colItems count="2">
    <i>
      <x/>
    </i>
    <i i="1">
      <x v="1"/>
    </i>
  </colItems>
  <dataFields count="2">
    <dataField name="Sum of Units" fld="7" baseField="0" baseItem="0"/>
    <dataField name="Sum of Profit" fld="9" baseField="0" baseItem="0"/>
  </dataFields>
  <formats count="6">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s>
  <chartFormats count="2">
    <chartFormat chart="21"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70D3E4-78EF-493E-ABC9-1CA586187F21}" name="PivotTable8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0" firstHeaderRow="1" firstDataRow="1" firstDataCol="1"/>
  <pivotFields count="11">
    <pivotField showAll="0"/>
    <pivotField numFmtId="14"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fld="8" baseField="0" baseItem="0"/>
  </dataFields>
  <formats count="6">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axis="axisValues" fieldPosition="0"/>
    </format>
  </formats>
  <conditionalFormats count="2">
    <conditionalFormat priority="8">
      <pivotAreas count="1">
        <pivotArea type="data" collapsedLevelsAreSubtotals="1" fieldPosition="0">
          <references count="2">
            <reference field="4294967294" count="1" selected="0">
              <x v="0"/>
            </reference>
            <reference field="3" count="4">
              <x v="0"/>
              <x v="1"/>
              <x v="2"/>
              <x v="3"/>
            </reference>
          </references>
        </pivotArea>
      </pivotAreas>
    </conditionalFormat>
    <conditionalFormat priority="7">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5">
    <chartFormat chart="29" format="26" series="1">
      <pivotArea type="data" outline="0" fieldPosition="0">
        <references count="1">
          <reference field="4294967294" count="1" selected="0">
            <x v="0"/>
          </reference>
        </references>
      </pivotArea>
    </chartFormat>
    <chartFormat chart="29" format="27">
      <pivotArea type="data" outline="0" fieldPosition="0">
        <references count="2">
          <reference field="4294967294" count="1" selected="0">
            <x v="0"/>
          </reference>
          <reference field="3" count="1" selected="0">
            <x v="0"/>
          </reference>
        </references>
      </pivotArea>
    </chartFormat>
    <chartFormat chart="29" format="28">
      <pivotArea type="data" outline="0" fieldPosition="0">
        <references count="2">
          <reference field="4294967294" count="1" selected="0">
            <x v="0"/>
          </reference>
          <reference field="3" count="1" selected="0">
            <x v="1"/>
          </reference>
        </references>
      </pivotArea>
    </chartFormat>
    <chartFormat chart="29" format="29">
      <pivotArea type="data" outline="0" fieldPosition="0">
        <references count="2">
          <reference field="4294967294" count="1" selected="0">
            <x v="0"/>
          </reference>
          <reference field="3" count="1" selected="0">
            <x v="2"/>
          </reference>
        </references>
      </pivotArea>
    </chartFormat>
    <chartFormat chart="29" format="3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BAAC2FB-67CF-414E-9ED1-2A06C6C9D314}" sourceName="Region">
  <pivotTables>
    <pivotTable tabId="9" name="PivotTable86"/>
  </pivotTables>
  <data>
    <tabular pivotCacheId="111368212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5610E36-27DA-4C53-9243-D1F6A0206960}" sourceName="Category">
  <pivotTables>
    <pivotTable tabId="9" name="PivotTable90"/>
  </pivotTables>
  <data>
    <tabular pivotCacheId="133868579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D0C1671-8A0B-4F5B-B0DA-E6E74DC58EDD}" sourceName="Salesperson">
  <pivotTables>
    <pivotTable tabId="9" name="PivotTable91"/>
  </pivotTables>
  <data>
    <tabular pivotCacheId="1338685796">
      <items count="5">
        <i x="2" s="1"/>
        <i x="4"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46AC853-14F6-46E2-A513-833A2ECE72F5}" sourceName="Month">
  <pivotTables>
    <pivotTable tabId="9" name="PivotTable95"/>
  </pivotTables>
  <data>
    <tabular pivotCacheId="866594272">
      <items count="8">
        <i x="0" s="1"/>
        <i x="1" s="1"/>
        <i x="2" s="1"/>
        <i x="3" s="1"/>
        <i x="4" s="1"/>
        <i x="5" s="1"/>
        <i x="6"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ADCBBF7-3BC2-4C60-A39C-825E37A82628}" sourceName="Payment_Mode">
  <pivotTables>
    <pivotTable tabId="9" name="PivotTable92"/>
  </pivotTables>
  <data>
    <tabular pivotCacheId="133868579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8763E4-61B8-4D7B-85DD-EEEB32A8FB80}" cache="Slicer_Region1" caption="Region" rowHeight="273050"/>
  <slicer name="Category" xr10:uid="{22B0D3CA-8B9B-485D-91D5-6C4FAE1FB2BE}" cache="Slicer_Category1" caption="Category" rowHeight="273050"/>
  <slicer name="Salesperson 1" xr10:uid="{7B1C02FC-D30C-4869-86A1-BE5ACBFD8323}" cache="Slicer_Salesperson" caption="Salesperson" rowHeight="273050"/>
  <slicer name="Month 1" xr10:uid="{64EBBACB-2CF3-47EF-B49A-855DFCB046A3}" cache="Slicer_Month" caption="Month" rowHeight="273050"/>
  <slicer name="Payment_Mode" xr10:uid="{EFAA48A4-02C1-497F-9F1D-8D530C2A3D7E}" cache="Slicer_Payment_Mode" caption="Payment_Mode"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C8F091-439D-401B-95AA-B741460EA164}" cache="Slicer_Region1" caption="Region" rowHeight="273050"/>
  <slicer name="Category 1" xr10:uid="{E14CDDE4-9EFA-4FBB-80C7-D8808631BAE8}" cache="Slicer_Category1" caption="Category" rowHeight="273050"/>
  <slicer name="Salesperson" xr10:uid="{04FC982E-F6E6-4893-BE3D-878E80931B01}" cache="Slicer_Salesperson" caption="Salesperson" rowHeight="273050"/>
  <slicer name="Month" xr10:uid="{BEBA29EC-DD76-476F-8337-63246B5AF452}" cache="Slicer_Month" caption="Month"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369E79-B7CE-40CE-88D9-96AFB1BC4174}" name="Table4" displayName="Table4" ref="B3:L43" totalsRowShown="0" headerRowDxfId="12" dataDxfId="11">
  <autoFilter ref="B3:L43" xr:uid="{63369E79-B7CE-40CE-88D9-96AFB1BC4174}"/>
  <tableColumns count="11">
    <tableColumn id="1" xr3:uid="{91826001-5BFB-483D-8B44-8D1348BDF761}" name="Order_ID" dataDxfId="10"/>
    <tableColumn id="2" xr3:uid="{65E58603-0F1D-451A-94B1-83882715F271}" name="Date" dataDxfId="9"/>
    <tableColumn id="3" xr3:uid="{34BA81B9-BABB-4D98-B5A8-218A6B94F72B}" name="Month" dataDxfId="8">
      <calculatedColumnFormula>TEXT(C4,"mmm")</calculatedColumnFormula>
    </tableColumn>
    <tableColumn id="4" xr3:uid="{44891D1C-5079-49D4-A77F-700467DEC1E4}" name="Region" dataDxfId="7"/>
    <tableColumn id="5" xr3:uid="{944F329D-FD69-41F4-A541-B213EC7948EB}" name="Category" dataDxfId="6"/>
    <tableColumn id="6" xr3:uid="{E8C3C6F8-E762-41C0-AF74-693D0B6B9992}" name="Product" dataDxfId="5"/>
    <tableColumn id="7" xr3:uid="{5628D373-ADF8-49AA-90A7-A0E8EE0DC2FA}" name="Salesperson" dataDxfId="4"/>
    <tableColumn id="8" xr3:uid="{6F76DBD0-F74E-46B5-A7D0-A738CD5DF888}" name="Units" dataDxfId="3"/>
    <tableColumn id="9" xr3:uid="{DDFD18BB-EB8F-43BB-ADB3-E24CFC3BC71F}" name="Sales" dataDxfId="2"/>
    <tableColumn id="10" xr3:uid="{E62F3405-E5AD-4716-AA7F-4055E400BCFC}" name="Profit" dataDxfId="1"/>
    <tableColumn id="11" xr3:uid="{449D1E5B-1F8E-4287-A532-04CC0F7031C6}" name="Payment_Mode" dataDxfId="0"/>
  </tableColumns>
  <tableStyleInfo name="Table Style 1"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A5CB-5D27-4D6D-844F-04E469D86476}">
  <dimension ref="B1:L43"/>
  <sheetViews>
    <sheetView showGridLines="0" showRowColHeaders="0" topLeftCell="A2" workbookViewId="0">
      <selection activeCell="H124" sqref="H124"/>
    </sheetView>
  </sheetViews>
  <sheetFormatPr defaultRowHeight="18" x14ac:dyDescent="0.5"/>
  <cols>
    <col min="2" max="2" width="15" customWidth="1"/>
    <col min="3" max="3" width="12.77734375" customWidth="1"/>
    <col min="4" max="4" width="14.88671875" customWidth="1"/>
    <col min="5" max="5" width="12.21875" customWidth="1"/>
    <col min="6" max="6" width="14.88671875" customWidth="1"/>
    <col min="7" max="7" width="18.109375" customWidth="1"/>
    <col min="8" max="8" width="18.6640625" customWidth="1"/>
    <col min="9" max="9" width="13.5546875" customWidth="1"/>
    <col min="10" max="10" width="11.109375" customWidth="1"/>
    <col min="11" max="11" width="13.109375" customWidth="1"/>
    <col min="12" max="12" width="20" customWidth="1"/>
  </cols>
  <sheetData>
    <row r="1" spans="2:12" ht="21.6" x14ac:dyDescent="0.55000000000000004">
      <c r="G1" s="1" t="s">
        <v>54</v>
      </c>
    </row>
    <row r="3" spans="2:12" ht="17.850000000000001" customHeight="1" x14ac:dyDescent="0.5">
      <c r="B3" s="5" t="s">
        <v>6</v>
      </c>
      <c r="C3" s="5" t="s">
        <v>7</v>
      </c>
      <c r="D3" s="5" t="s">
        <v>38</v>
      </c>
      <c r="E3" s="5" t="s">
        <v>4</v>
      </c>
      <c r="F3" s="5" t="s">
        <v>5</v>
      </c>
      <c r="G3" s="5" t="s">
        <v>8</v>
      </c>
      <c r="H3" s="5" t="s">
        <v>9</v>
      </c>
      <c r="I3" s="5" t="s">
        <v>10</v>
      </c>
      <c r="J3" s="5" t="s">
        <v>11</v>
      </c>
      <c r="K3" s="5" t="s">
        <v>12</v>
      </c>
      <c r="L3" s="5" t="s">
        <v>13</v>
      </c>
    </row>
    <row r="4" spans="2:12" ht="17.850000000000001" customHeight="1" x14ac:dyDescent="0.5">
      <c r="B4" s="6">
        <v>1001</v>
      </c>
      <c r="C4" s="7">
        <v>46023</v>
      </c>
      <c r="D4" s="7" t="str">
        <f>TEXT(C4,"mmm")</f>
        <v>Jan</v>
      </c>
      <c r="E4" s="6" t="s">
        <v>14</v>
      </c>
      <c r="F4" s="6" t="s">
        <v>15</v>
      </c>
      <c r="G4" s="6" t="s">
        <v>16</v>
      </c>
      <c r="H4" s="6" t="s">
        <v>17</v>
      </c>
      <c r="I4" s="6">
        <v>2</v>
      </c>
      <c r="J4" s="6">
        <v>90000</v>
      </c>
      <c r="K4" s="6">
        <v>15000</v>
      </c>
      <c r="L4" s="6" t="s">
        <v>18</v>
      </c>
    </row>
    <row r="5" spans="2:12" ht="17.850000000000001" customHeight="1" x14ac:dyDescent="0.5">
      <c r="B5" s="6">
        <v>1002</v>
      </c>
      <c r="C5" s="7">
        <v>46024</v>
      </c>
      <c r="D5" s="7" t="str">
        <f t="shared" ref="D5:D43" si="0">TEXT(C5,"mmm")</f>
        <v>Jan</v>
      </c>
      <c r="E5" s="6" t="s">
        <v>19</v>
      </c>
      <c r="F5" s="6" t="s">
        <v>20</v>
      </c>
      <c r="G5" s="6" t="s">
        <v>21</v>
      </c>
      <c r="H5" s="6" t="s">
        <v>22</v>
      </c>
      <c r="I5" s="6">
        <v>10</v>
      </c>
      <c r="J5" s="6">
        <v>15000</v>
      </c>
      <c r="K5" s="6">
        <v>3000</v>
      </c>
      <c r="L5" s="6" t="s">
        <v>23</v>
      </c>
    </row>
    <row r="6" spans="2:12" ht="17.850000000000001" customHeight="1" x14ac:dyDescent="0.5">
      <c r="B6" s="6">
        <v>1003</v>
      </c>
      <c r="C6" s="7">
        <v>46025</v>
      </c>
      <c r="D6" s="7" t="str">
        <f t="shared" si="0"/>
        <v>Jan</v>
      </c>
      <c r="E6" s="6" t="s">
        <v>24</v>
      </c>
      <c r="F6" s="6" t="s">
        <v>15</v>
      </c>
      <c r="G6" s="6" t="s">
        <v>25</v>
      </c>
      <c r="H6" s="6" t="s">
        <v>26</v>
      </c>
      <c r="I6" s="6">
        <v>5</v>
      </c>
      <c r="J6" s="6">
        <v>12000</v>
      </c>
      <c r="K6" s="6">
        <v>2500</v>
      </c>
      <c r="L6" s="6" t="s">
        <v>27</v>
      </c>
    </row>
    <row r="7" spans="2:12" ht="17.850000000000001" customHeight="1" x14ac:dyDescent="0.5">
      <c r="B7" s="6">
        <v>1004</v>
      </c>
      <c r="C7" s="7">
        <v>46026</v>
      </c>
      <c r="D7" s="7" t="str">
        <f t="shared" si="0"/>
        <v>Jan</v>
      </c>
      <c r="E7" s="6" t="s">
        <v>28</v>
      </c>
      <c r="F7" s="6" t="s">
        <v>15</v>
      </c>
      <c r="G7" s="6" t="s">
        <v>29</v>
      </c>
      <c r="H7" s="6" t="s">
        <v>30</v>
      </c>
      <c r="I7" s="6">
        <v>3</v>
      </c>
      <c r="J7" s="6">
        <v>45000</v>
      </c>
      <c r="K7" s="6">
        <v>9000</v>
      </c>
      <c r="L7" s="6" t="s">
        <v>18</v>
      </c>
    </row>
    <row r="8" spans="2:12" ht="17.850000000000001" customHeight="1" x14ac:dyDescent="0.5">
      <c r="B8" s="6">
        <v>1005</v>
      </c>
      <c r="C8" s="7">
        <v>46027</v>
      </c>
      <c r="D8" s="7" t="str">
        <f t="shared" si="0"/>
        <v>Jan</v>
      </c>
      <c r="E8" s="6" t="s">
        <v>14</v>
      </c>
      <c r="F8" s="6" t="s">
        <v>20</v>
      </c>
      <c r="G8" s="6" t="s">
        <v>31</v>
      </c>
      <c r="H8" s="6" t="s">
        <v>32</v>
      </c>
      <c r="I8" s="6">
        <v>4</v>
      </c>
      <c r="J8" s="6">
        <v>8000</v>
      </c>
      <c r="K8" s="6">
        <v>2000</v>
      </c>
      <c r="L8" s="6" t="s">
        <v>23</v>
      </c>
    </row>
    <row r="9" spans="2:12" ht="17.850000000000001" customHeight="1" x14ac:dyDescent="0.5">
      <c r="B9" s="6">
        <v>1006</v>
      </c>
      <c r="C9" s="7">
        <v>46054</v>
      </c>
      <c r="D9" s="7" t="str">
        <f t="shared" si="0"/>
        <v>Feb</v>
      </c>
      <c r="E9" s="6" t="s">
        <v>19</v>
      </c>
      <c r="F9" s="6" t="s">
        <v>15</v>
      </c>
      <c r="G9" s="6" t="s">
        <v>16</v>
      </c>
      <c r="H9" s="6" t="s">
        <v>17</v>
      </c>
      <c r="I9" s="6">
        <v>1</v>
      </c>
      <c r="J9" s="6">
        <v>45000</v>
      </c>
      <c r="K9" s="6">
        <v>7000</v>
      </c>
      <c r="L9" s="6" t="s">
        <v>27</v>
      </c>
    </row>
    <row r="10" spans="2:12" ht="17.850000000000001" customHeight="1" x14ac:dyDescent="0.5">
      <c r="B10" s="6">
        <v>1007</v>
      </c>
      <c r="C10" s="7">
        <v>46055</v>
      </c>
      <c r="D10" s="7" t="str">
        <f t="shared" si="0"/>
        <v>Feb</v>
      </c>
      <c r="E10" s="6" t="s">
        <v>24</v>
      </c>
      <c r="F10" s="6" t="s">
        <v>20</v>
      </c>
      <c r="G10" s="6" t="s">
        <v>21</v>
      </c>
      <c r="H10" s="6" t="s">
        <v>22</v>
      </c>
      <c r="I10" s="6">
        <v>12</v>
      </c>
      <c r="J10" s="6">
        <v>18000</v>
      </c>
      <c r="K10" s="6">
        <v>3500</v>
      </c>
      <c r="L10" s="6" t="s">
        <v>18</v>
      </c>
    </row>
    <row r="11" spans="2:12" ht="17.850000000000001" customHeight="1" x14ac:dyDescent="0.5">
      <c r="B11" s="6">
        <v>1008</v>
      </c>
      <c r="C11" s="7">
        <v>46056</v>
      </c>
      <c r="D11" s="7" t="str">
        <f t="shared" si="0"/>
        <v>Feb</v>
      </c>
      <c r="E11" s="6" t="s">
        <v>28</v>
      </c>
      <c r="F11" s="6" t="s">
        <v>15</v>
      </c>
      <c r="G11" s="6" t="s">
        <v>25</v>
      </c>
      <c r="H11" s="6" t="s">
        <v>26</v>
      </c>
      <c r="I11" s="6">
        <v>7</v>
      </c>
      <c r="J11" s="6">
        <v>17000</v>
      </c>
      <c r="K11" s="6">
        <v>3200</v>
      </c>
      <c r="L11" s="6" t="s">
        <v>23</v>
      </c>
    </row>
    <row r="12" spans="2:12" ht="17.850000000000001" customHeight="1" x14ac:dyDescent="0.5">
      <c r="B12" s="6">
        <v>1009</v>
      </c>
      <c r="C12" s="7">
        <v>46057</v>
      </c>
      <c r="D12" s="7" t="str">
        <f t="shared" si="0"/>
        <v>Feb</v>
      </c>
      <c r="E12" s="6" t="s">
        <v>14</v>
      </c>
      <c r="F12" s="6" t="s">
        <v>15</v>
      </c>
      <c r="G12" s="6" t="s">
        <v>29</v>
      </c>
      <c r="H12" s="6" t="s">
        <v>30</v>
      </c>
      <c r="I12" s="6">
        <v>2</v>
      </c>
      <c r="J12" s="6">
        <v>30000</v>
      </c>
      <c r="K12" s="6">
        <v>6000</v>
      </c>
      <c r="L12" s="6" t="s">
        <v>27</v>
      </c>
    </row>
    <row r="13" spans="2:12" ht="17.850000000000001" customHeight="1" x14ac:dyDescent="0.5">
      <c r="B13" s="6">
        <v>1010</v>
      </c>
      <c r="C13" s="7">
        <v>46058</v>
      </c>
      <c r="D13" s="7" t="str">
        <f t="shared" si="0"/>
        <v>Feb</v>
      </c>
      <c r="E13" s="6" t="s">
        <v>19</v>
      </c>
      <c r="F13" s="6" t="s">
        <v>20</v>
      </c>
      <c r="G13" s="6" t="s">
        <v>31</v>
      </c>
      <c r="H13" s="6" t="s">
        <v>32</v>
      </c>
      <c r="I13" s="6">
        <v>6</v>
      </c>
      <c r="J13" s="6">
        <v>12000</v>
      </c>
      <c r="K13" s="6">
        <v>2400</v>
      </c>
      <c r="L13" s="6" t="s">
        <v>18</v>
      </c>
    </row>
    <row r="14" spans="2:12" ht="17.850000000000001" customHeight="1" x14ac:dyDescent="0.5">
      <c r="B14" s="6">
        <v>1011</v>
      </c>
      <c r="C14" s="7">
        <v>46087</v>
      </c>
      <c r="D14" s="7" t="str">
        <f t="shared" si="0"/>
        <v>Mar</v>
      </c>
      <c r="E14" s="6" t="s">
        <v>24</v>
      </c>
      <c r="F14" s="6" t="s">
        <v>15</v>
      </c>
      <c r="G14" s="6" t="s">
        <v>16</v>
      </c>
      <c r="H14" s="6" t="s">
        <v>17</v>
      </c>
      <c r="I14" s="6">
        <v>2</v>
      </c>
      <c r="J14" s="6">
        <v>92000</v>
      </c>
      <c r="K14" s="6">
        <v>16000</v>
      </c>
      <c r="L14" s="6" t="s">
        <v>23</v>
      </c>
    </row>
    <row r="15" spans="2:12" ht="17.850000000000001" customHeight="1" x14ac:dyDescent="0.5">
      <c r="B15" s="6">
        <v>1012</v>
      </c>
      <c r="C15" s="7">
        <v>46088</v>
      </c>
      <c r="D15" s="7" t="str">
        <f t="shared" si="0"/>
        <v>Mar</v>
      </c>
      <c r="E15" s="6" t="s">
        <v>28</v>
      </c>
      <c r="F15" s="6" t="s">
        <v>20</v>
      </c>
      <c r="G15" s="6" t="s">
        <v>21</v>
      </c>
      <c r="H15" s="6" t="s">
        <v>22</v>
      </c>
      <c r="I15" s="6">
        <v>8</v>
      </c>
      <c r="J15" s="6">
        <v>14000</v>
      </c>
      <c r="K15" s="6">
        <v>2800</v>
      </c>
      <c r="L15" s="6" t="s">
        <v>27</v>
      </c>
    </row>
    <row r="16" spans="2:12" ht="17.850000000000001" customHeight="1" x14ac:dyDescent="0.5">
      <c r="B16" s="6">
        <v>1013</v>
      </c>
      <c r="C16" s="7">
        <v>46089</v>
      </c>
      <c r="D16" s="7" t="str">
        <f t="shared" si="0"/>
        <v>Mar</v>
      </c>
      <c r="E16" s="6" t="s">
        <v>14</v>
      </c>
      <c r="F16" s="6" t="s">
        <v>15</v>
      </c>
      <c r="G16" s="6" t="s">
        <v>25</v>
      </c>
      <c r="H16" s="6" t="s">
        <v>26</v>
      </c>
      <c r="I16" s="6">
        <v>9</v>
      </c>
      <c r="J16" s="6">
        <v>21000</v>
      </c>
      <c r="K16" s="6">
        <v>4000</v>
      </c>
      <c r="L16" s="6" t="s">
        <v>18</v>
      </c>
    </row>
    <row r="17" spans="2:12" ht="17.850000000000001" customHeight="1" x14ac:dyDescent="0.5">
      <c r="B17" s="6">
        <v>1014</v>
      </c>
      <c r="C17" s="7">
        <v>46090</v>
      </c>
      <c r="D17" s="7" t="str">
        <f t="shared" si="0"/>
        <v>Mar</v>
      </c>
      <c r="E17" s="6" t="s">
        <v>19</v>
      </c>
      <c r="F17" s="6" t="s">
        <v>15</v>
      </c>
      <c r="G17" s="6" t="s">
        <v>29</v>
      </c>
      <c r="H17" s="6" t="s">
        <v>30</v>
      </c>
      <c r="I17" s="6">
        <v>3</v>
      </c>
      <c r="J17" s="6">
        <v>48000</v>
      </c>
      <c r="K17" s="6">
        <v>9500</v>
      </c>
      <c r="L17" s="6" t="s">
        <v>23</v>
      </c>
    </row>
    <row r="18" spans="2:12" ht="17.850000000000001" customHeight="1" x14ac:dyDescent="0.5">
      <c r="B18" s="6">
        <v>1015</v>
      </c>
      <c r="C18" s="7">
        <v>46091</v>
      </c>
      <c r="D18" s="7" t="str">
        <f t="shared" si="0"/>
        <v>Mar</v>
      </c>
      <c r="E18" s="6" t="s">
        <v>24</v>
      </c>
      <c r="F18" s="6" t="s">
        <v>20</v>
      </c>
      <c r="G18" s="6" t="s">
        <v>31</v>
      </c>
      <c r="H18" s="6" t="s">
        <v>32</v>
      </c>
      <c r="I18" s="6">
        <v>5</v>
      </c>
      <c r="J18" s="6">
        <v>10000</v>
      </c>
      <c r="K18" s="6">
        <v>2100</v>
      </c>
      <c r="L18" s="6" t="s">
        <v>27</v>
      </c>
    </row>
    <row r="19" spans="2:12" ht="17.850000000000001" customHeight="1" x14ac:dyDescent="0.5">
      <c r="B19" s="6">
        <v>1016</v>
      </c>
      <c r="C19" s="7">
        <v>46120</v>
      </c>
      <c r="D19" s="7" t="str">
        <f t="shared" si="0"/>
        <v>Apr</v>
      </c>
      <c r="E19" s="6" t="s">
        <v>28</v>
      </c>
      <c r="F19" s="6" t="s">
        <v>15</v>
      </c>
      <c r="G19" s="6" t="s">
        <v>16</v>
      </c>
      <c r="H19" s="6" t="s">
        <v>17</v>
      </c>
      <c r="I19" s="6">
        <v>1</v>
      </c>
      <c r="J19" s="6">
        <v>47000</v>
      </c>
      <c r="K19" s="6">
        <v>8000</v>
      </c>
      <c r="L19" s="6" t="s">
        <v>18</v>
      </c>
    </row>
    <row r="20" spans="2:12" ht="17.850000000000001" customHeight="1" x14ac:dyDescent="0.5">
      <c r="B20" s="6">
        <v>1017</v>
      </c>
      <c r="C20" s="7">
        <v>46121</v>
      </c>
      <c r="D20" s="7" t="str">
        <f t="shared" si="0"/>
        <v>Apr</v>
      </c>
      <c r="E20" s="6" t="s">
        <v>14</v>
      </c>
      <c r="F20" s="6" t="s">
        <v>20</v>
      </c>
      <c r="G20" s="6" t="s">
        <v>21</v>
      </c>
      <c r="H20" s="6" t="s">
        <v>22</v>
      </c>
      <c r="I20" s="6">
        <v>9</v>
      </c>
      <c r="J20" s="6">
        <v>16000</v>
      </c>
      <c r="K20" s="6">
        <v>3200</v>
      </c>
      <c r="L20" s="6" t="s">
        <v>23</v>
      </c>
    </row>
    <row r="21" spans="2:12" ht="17.850000000000001" customHeight="1" x14ac:dyDescent="0.5">
      <c r="B21" s="6">
        <v>1018</v>
      </c>
      <c r="C21" s="7">
        <v>46122</v>
      </c>
      <c r="D21" s="7" t="str">
        <f t="shared" si="0"/>
        <v>Apr</v>
      </c>
      <c r="E21" s="6" t="s">
        <v>19</v>
      </c>
      <c r="F21" s="6" t="s">
        <v>15</v>
      </c>
      <c r="G21" s="6" t="s">
        <v>25</v>
      </c>
      <c r="H21" s="6" t="s">
        <v>26</v>
      </c>
      <c r="I21" s="6">
        <v>6</v>
      </c>
      <c r="J21" s="6">
        <v>15000</v>
      </c>
      <c r="K21" s="6">
        <v>3000</v>
      </c>
      <c r="L21" s="6" t="s">
        <v>27</v>
      </c>
    </row>
    <row r="22" spans="2:12" ht="17.850000000000001" customHeight="1" x14ac:dyDescent="0.5">
      <c r="B22" s="6">
        <v>1019</v>
      </c>
      <c r="C22" s="7">
        <v>46123</v>
      </c>
      <c r="D22" s="7" t="str">
        <f t="shared" si="0"/>
        <v>Apr</v>
      </c>
      <c r="E22" s="6" t="s">
        <v>24</v>
      </c>
      <c r="F22" s="6" t="s">
        <v>15</v>
      </c>
      <c r="G22" s="6" t="s">
        <v>29</v>
      </c>
      <c r="H22" s="6" t="s">
        <v>30</v>
      </c>
      <c r="I22" s="6">
        <v>4</v>
      </c>
      <c r="J22" s="6">
        <v>60000</v>
      </c>
      <c r="K22" s="6">
        <v>12000</v>
      </c>
      <c r="L22" s="6" t="s">
        <v>18</v>
      </c>
    </row>
    <row r="23" spans="2:12" ht="17.850000000000001" customHeight="1" x14ac:dyDescent="0.5">
      <c r="B23" s="6">
        <v>1020</v>
      </c>
      <c r="C23" s="7">
        <v>46124</v>
      </c>
      <c r="D23" s="7" t="str">
        <f t="shared" si="0"/>
        <v>Apr</v>
      </c>
      <c r="E23" s="6" t="s">
        <v>28</v>
      </c>
      <c r="F23" s="6" t="s">
        <v>20</v>
      </c>
      <c r="G23" s="6" t="s">
        <v>31</v>
      </c>
      <c r="H23" s="6" t="s">
        <v>32</v>
      </c>
      <c r="I23" s="6">
        <v>7</v>
      </c>
      <c r="J23" s="6">
        <v>13000</v>
      </c>
      <c r="K23" s="6">
        <v>2500</v>
      </c>
      <c r="L23" s="6" t="s">
        <v>23</v>
      </c>
    </row>
    <row r="24" spans="2:12" ht="17.850000000000001" customHeight="1" x14ac:dyDescent="0.5">
      <c r="B24" s="6">
        <v>1021</v>
      </c>
      <c r="C24" s="7">
        <v>46143</v>
      </c>
      <c r="D24" s="7" t="str">
        <f t="shared" si="0"/>
        <v>May</v>
      </c>
      <c r="E24" s="6" t="s">
        <v>14</v>
      </c>
      <c r="F24" s="6" t="s">
        <v>15</v>
      </c>
      <c r="G24" s="6" t="s">
        <v>16</v>
      </c>
      <c r="H24" s="6" t="s">
        <v>17</v>
      </c>
      <c r="I24" s="6">
        <v>2</v>
      </c>
      <c r="J24" s="6">
        <v>91000</v>
      </c>
      <c r="K24" s="6">
        <v>15500</v>
      </c>
      <c r="L24" s="6" t="s">
        <v>27</v>
      </c>
    </row>
    <row r="25" spans="2:12" ht="17.850000000000001" customHeight="1" x14ac:dyDescent="0.5">
      <c r="B25" s="6">
        <v>1022</v>
      </c>
      <c r="C25" s="7">
        <v>46144</v>
      </c>
      <c r="D25" s="7" t="str">
        <f t="shared" si="0"/>
        <v>May</v>
      </c>
      <c r="E25" s="6" t="s">
        <v>19</v>
      </c>
      <c r="F25" s="6" t="s">
        <v>20</v>
      </c>
      <c r="G25" s="6" t="s">
        <v>21</v>
      </c>
      <c r="H25" s="6" t="s">
        <v>22</v>
      </c>
      <c r="I25" s="6">
        <v>11</v>
      </c>
      <c r="J25" s="6">
        <v>17500</v>
      </c>
      <c r="K25" s="6">
        <v>3400</v>
      </c>
      <c r="L25" s="6" t="s">
        <v>18</v>
      </c>
    </row>
    <row r="26" spans="2:12" ht="17.850000000000001" customHeight="1" x14ac:dyDescent="0.5">
      <c r="B26" s="6">
        <v>1023</v>
      </c>
      <c r="C26" s="7">
        <v>46145</v>
      </c>
      <c r="D26" s="7" t="str">
        <f t="shared" si="0"/>
        <v>May</v>
      </c>
      <c r="E26" s="6" t="s">
        <v>24</v>
      </c>
      <c r="F26" s="6" t="s">
        <v>15</v>
      </c>
      <c r="G26" s="6" t="s">
        <v>25</v>
      </c>
      <c r="H26" s="6" t="s">
        <v>26</v>
      </c>
      <c r="I26" s="6">
        <v>5</v>
      </c>
      <c r="J26" s="6">
        <v>12500</v>
      </c>
      <c r="K26" s="6">
        <v>2400</v>
      </c>
      <c r="L26" s="6" t="s">
        <v>23</v>
      </c>
    </row>
    <row r="27" spans="2:12" ht="17.850000000000001" customHeight="1" x14ac:dyDescent="0.5">
      <c r="B27" s="6">
        <v>1024</v>
      </c>
      <c r="C27" s="7">
        <v>46146</v>
      </c>
      <c r="D27" s="7" t="str">
        <f t="shared" si="0"/>
        <v>May</v>
      </c>
      <c r="E27" s="6" t="s">
        <v>28</v>
      </c>
      <c r="F27" s="6" t="s">
        <v>15</v>
      </c>
      <c r="G27" s="6" t="s">
        <v>29</v>
      </c>
      <c r="H27" s="6" t="s">
        <v>30</v>
      </c>
      <c r="I27" s="6">
        <v>3</v>
      </c>
      <c r="J27" s="6">
        <v>47000</v>
      </c>
      <c r="K27" s="6">
        <v>9100</v>
      </c>
      <c r="L27" s="6" t="s">
        <v>27</v>
      </c>
    </row>
    <row r="28" spans="2:12" ht="17.850000000000001" customHeight="1" x14ac:dyDescent="0.5">
      <c r="B28" s="6">
        <v>1025</v>
      </c>
      <c r="C28" s="7">
        <v>46147</v>
      </c>
      <c r="D28" s="7" t="str">
        <f t="shared" si="0"/>
        <v>May</v>
      </c>
      <c r="E28" s="6" t="s">
        <v>14</v>
      </c>
      <c r="F28" s="6" t="s">
        <v>20</v>
      </c>
      <c r="G28" s="6" t="s">
        <v>31</v>
      </c>
      <c r="H28" s="6" t="s">
        <v>32</v>
      </c>
      <c r="I28" s="6">
        <v>6</v>
      </c>
      <c r="J28" s="6">
        <v>11000</v>
      </c>
      <c r="K28" s="6">
        <v>2200</v>
      </c>
      <c r="L28" s="6" t="s">
        <v>18</v>
      </c>
    </row>
    <row r="29" spans="2:12" ht="17.850000000000001" customHeight="1" x14ac:dyDescent="0.5">
      <c r="B29" s="6">
        <v>1026</v>
      </c>
      <c r="C29" s="7">
        <v>46182</v>
      </c>
      <c r="D29" s="7" t="str">
        <f t="shared" si="0"/>
        <v>Jun</v>
      </c>
      <c r="E29" s="6" t="s">
        <v>19</v>
      </c>
      <c r="F29" s="6" t="s">
        <v>15</v>
      </c>
      <c r="G29" s="6" t="s">
        <v>16</v>
      </c>
      <c r="H29" s="6" t="s">
        <v>17</v>
      </c>
      <c r="I29" s="6">
        <v>1</v>
      </c>
      <c r="J29" s="6">
        <v>46000</v>
      </c>
      <c r="K29" s="6">
        <v>7800</v>
      </c>
      <c r="L29" s="6" t="s">
        <v>23</v>
      </c>
    </row>
    <row r="30" spans="2:12" ht="17.850000000000001" customHeight="1" x14ac:dyDescent="0.5">
      <c r="B30" s="6">
        <v>1027</v>
      </c>
      <c r="C30" s="7">
        <v>46183</v>
      </c>
      <c r="D30" s="7" t="str">
        <f t="shared" si="0"/>
        <v>Jun</v>
      </c>
      <c r="E30" s="6" t="s">
        <v>24</v>
      </c>
      <c r="F30" s="6" t="s">
        <v>20</v>
      </c>
      <c r="G30" s="6" t="s">
        <v>21</v>
      </c>
      <c r="H30" s="6" t="s">
        <v>22</v>
      </c>
      <c r="I30" s="6">
        <v>10</v>
      </c>
      <c r="J30" s="6">
        <v>16500</v>
      </c>
      <c r="K30" s="6">
        <v>3300</v>
      </c>
      <c r="L30" s="6" t="s">
        <v>27</v>
      </c>
    </row>
    <row r="31" spans="2:12" ht="17.850000000000001" customHeight="1" x14ac:dyDescent="0.5">
      <c r="B31" s="6">
        <v>1028</v>
      </c>
      <c r="C31" s="7">
        <v>46184</v>
      </c>
      <c r="D31" s="7" t="str">
        <f t="shared" si="0"/>
        <v>Jun</v>
      </c>
      <c r="E31" s="6" t="s">
        <v>28</v>
      </c>
      <c r="F31" s="6" t="s">
        <v>15</v>
      </c>
      <c r="G31" s="6" t="s">
        <v>25</v>
      </c>
      <c r="H31" s="6" t="s">
        <v>26</v>
      </c>
      <c r="I31" s="6">
        <v>8</v>
      </c>
      <c r="J31" s="6">
        <v>18500</v>
      </c>
      <c r="K31" s="6">
        <v>3600</v>
      </c>
      <c r="L31" s="6" t="s">
        <v>18</v>
      </c>
    </row>
    <row r="32" spans="2:12" ht="17.850000000000001" customHeight="1" x14ac:dyDescent="0.5">
      <c r="B32" s="6">
        <v>1029</v>
      </c>
      <c r="C32" s="7">
        <v>46185</v>
      </c>
      <c r="D32" s="7" t="str">
        <f t="shared" si="0"/>
        <v>Jun</v>
      </c>
      <c r="E32" s="6" t="s">
        <v>14</v>
      </c>
      <c r="F32" s="6" t="s">
        <v>15</v>
      </c>
      <c r="G32" s="6" t="s">
        <v>29</v>
      </c>
      <c r="H32" s="6" t="s">
        <v>30</v>
      </c>
      <c r="I32" s="6">
        <v>2</v>
      </c>
      <c r="J32" s="6">
        <v>31000</v>
      </c>
      <c r="K32" s="6">
        <v>6200</v>
      </c>
      <c r="L32" s="6" t="s">
        <v>23</v>
      </c>
    </row>
    <row r="33" spans="2:12" ht="17.850000000000001" customHeight="1" x14ac:dyDescent="0.5">
      <c r="B33" s="6">
        <v>1030</v>
      </c>
      <c r="C33" s="7">
        <v>46186</v>
      </c>
      <c r="D33" s="7" t="str">
        <f t="shared" si="0"/>
        <v>Jun</v>
      </c>
      <c r="E33" s="6" t="s">
        <v>19</v>
      </c>
      <c r="F33" s="6" t="s">
        <v>20</v>
      </c>
      <c r="G33" s="6" t="s">
        <v>31</v>
      </c>
      <c r="H33" s="6" t="s">
        <v>32</v>
      </c>
      <c r="I33" s="6">
        <v>5</v>
      </c>
      <c r="J33" s="6">
        <v>10500</v>
      </c>
      <c r="K33" s="6">
        <v>2100</v>
      </c>
      <c r="L33" s="6" t="s">
        <v>27</v>
      </c>
    </row>
    <row r="34" spans="2:12" ht="17.850000000000001" customHeight="1" x14ac:dyDescent="0.5">
      <c r="B34" s="6">
        <v>1031</v>
      </c>
      <c r="C34" s="7">
        <v>46219</v>
      </c>
      <c r="D34" s="7" t="str">
        <f t="shared" si="0"/>
        <v>Jul</v>
      </c>
      <c r="E34" s="6" t="s">
        <v>24</v>
      </c>
      <c r="F34" s="6" t="s">
        <v>15</v>
      </c>
      <c r="G34" s="6" t="s">
        <v>16</v>
      </c>
      <c r="H34" s="6" t="s">
        <v>17</v>
      </c>
      <c r="I34" s="6">
        <v>2</v>
      </c>
      <c r="J34" s="6">
        <v>93000</v>
      </c>
      <c r="K34" s="6">
        <v>16200</v>
      </c>
      <c r="L34" s="6" t="s">
        <v>18</v>
      </c>
    </row>
    <row r="35" spans="2:12" ht="17.850000000000001" customHeight="1" x14ac:dyDescent="0.5">
      <c r="B35" s="6">
        <v>1032</v>
      </c>
      <c r="C35" s="7">
        <v>46220</v>
      </c>
      <c r="D35" s="7" t="str">
        <f t="shared" si="0"/>
        <v>Jul</v>
      </c>
      <c r="E35" s="6" t="s">
        <v>28</v>
      </c>
      <c r="F35" s="6" t="s">
        <v>20</v>
      </c>
      <c r="G35" s="6" t="s">
        <v>21</v>
      </c>
      <c r="H35" s="6" t="s">
        <v>22</v>
      </c>
      <c r="I35" s="6">
        <v>7</v>
      </c>
      <c r="J35" s="6">
        <v>13500</v>
      </c>
      <c r="K35" s="6">
        <v>2600</v>
      </c>
      <c r="L35" s="6" t="s">
        <v>23</v>
      </c>
    </row>
    <row r="36" spans="2:12" ht="17.850000000000001" customHeight="1" x14ac:dyDescent="0.5">
      <c r="B36" s="6">
        <v>1033</v>
      </c>
      <c r="C36" s="7">
        <v>46221</v>
      </c>
      <c r="D36" s="7" t="str">
        <f t="shared" si="0"/>
        <v>Jul</v>
      </c>
      <c r="E36" s="6" t="s">
        <v>14</v>
      </c>
      <c r="F36" s="6" t="s">
        <v>15</v>
      </c>
      <c r="G36" s="6" t="s">
        <v>25</v>
      </c>
      <c r="H36" s="6" t="s">
        <v>26</v>
      </c>
      <c r="I36" s="6">
        <v>6</v>
      </c>
      <c r="J36" s="6">
        <v>15500</v>
      </c>
      <c r="K36" s="6">
        <v>3100</v>
      </c>
      <c r="L36" s="6" t="s">
        <v>27</v>
      </c>
    </row>
    <row r="37" spans="2:12" ht="17.850000000000001" customHeight="1" x14ac:dyDescent="0.5">
      <c r="B37" s="6">
        <v>1034</v>
      </c>
      <c r="C37" s="7">
        <v>46222</v>
      </c>
      <c r="D37" s="7" t="str">
        <f t="shared" si="0"/>
        <v>Jul</v>
      </c>
      <c r="E37" s="6" t="s">
        <v>19</v>
      </c>
      <c r="F37" s="6" t="s">
        <v>15</v>
      </c>
      <c r="G37" s="6" t="s">
        <v>29</v>
      </c>
      <c r="H37" s="6" t="s">
        <v>30</v>
      </c>
      <c r="I37" s="6">
        <v>4</v>
      </c>
      <c r="J37" s="6">
        <v>62000</v>
      </c>
      <c r="K37" s="6">
        <v>12400</v>
      </c>
      <c r="L37" s="6" t="s">
        <v>18</v>
      </c>
    </row>
    <row r="38" spans="2:12" ht="17.850000000000001" customHeight="1" x14ac:dyDescent="0.5">
      <c r="B38" s="6">
        <v>1035</v>
      </c>
      <c r="C38" s="7">
        <v>46223</v>
      </c>
      <c r="D38" s="7" t="str">
        <f t="shared" si="0"/>
        <v>Jul</v>
      </c>
      <c r="E38" s="6" t="s">
        <v>24</v>
      </c>
      <c r="F38" s="6" t="s">
        <v>20</v>
      </c>
      <c r="G38" s="6" t="s">
        <v>31</v>
      </c>
      <c r="H38" s="6" t="s">
        <v>32</v>
      </c>
      <c r="I38" s="6">
        <v>8</v>
      </c>
      <c r="J38" s="6">
        <v>14500</v>
      </c>
      <c r="K38" s="6">
        <v>2900</v>
      </c>
      <c r="L38" s="6" t="s">
        <v>23</v>
      </c>
    </row>
    <row r="39" spans="2:12" ht="17.850000000000001" customHeight="1" x14ac:dyDescent="0.5">
      <c r="B39" s="6">
        <v>1036</v>
      </c>
      <c r="C39" s="7">
        <v>46252</v>
      </c>
      <c r="D39" s="7" t="str">
        <f t="shared" si="0"/>
        <v>Aug</v>
      </c>
      <c r="E39" s="6" t="s">
        <v>28</v>
      </c>
      <c r="F39" s="6" t="s">
        <v>15</v>
      </c>
      <c r="G39" s="6" t="s">
        <v>16</v>
      </c>
      <c r="H39" s="6" t="s">
        <v>17</v>
      </c>
      <c r="I39" s="6">
        <v>1</v>
      </c>
      <c r="J39" s="6">
        <v>48000</v>
      </c>
      <c r="K39" s="6">
        <v>8200</v>
      </c>
      <c r="L39" s="6" t="s">
        <v>27</v>
      </c>
    </row>
    <row r="40" spans="2:12" ht="17.850000000000001" customHeight="1" x14ac:dyDescent="0.5">
      <c r="B40" s="6">
        <v>1037</v>
      </c>
      <c r="C40" s="7">
        <v>46253</v>
      </c>
      <c r="D40" s="7" t="str">
        <f t="shared" si="0"/>
        <v>Aug</v>
      </c>
      <c r="E40" s="6" t="s">
        <v>14</v>
      </c>
      <c r="F40" s="6" t="s">
        <v>20</v>
      </c>
      <c r="G40" s="6" t="s">
        <v>21</v>
      </c>
      <c r="H40" s="6" t="s">
        <v>22</v>
      </c>
      <c r="I40" s="6">
        <v>9</v>
      </c>
      <c r="J40" s="6">
        <v>15800</v>
      </c>
      <c r="K40" s="6">
        <v>3150</v>
      </c>
      <c r="L40" s="6" t="s">
        <v>18</v>
      </c>
    </row>
    <row r="41" spans="2:12" ht="17.850000000000001" customHeight="1" x14ac:dyDescent="0.5">
      <c r="B41" s="6">
        <v>1038</v>
      </c>
      <c r="C41" s="7">
        <v>46254</v>
      </c>
      <c r="D41" s="7" t="str">
        <f t="shared" si="0"/>
        <v>Aug</v>
      </c>
      <c r="E41" s="6" t="s">
        <v>19</v>
      </c>
      <c r="F41" s="6" t="s">
        <v>15</v>
      </c>
      <c r="G41" s="6" t="s">
        <v>25</v>
      </c>
      <c r="H41" s="6" t="s">
        <v>26</v>
      </c>
      <c r="I41" s="6">
        <v>7</v>
      </c>
      <c r="J41" s="6">
        <v>17200</v>
      </c>
      <c r="K41" s="6">
        <v>3400</v>
      </c>
      <c r="L41" s="6" t="s">
        <v>23</v>
      </c>
    </row>
    <row r="42" spans="2:12" ht="17.850000000000001" customHeight="1" x14ac:dyDescent="0.5">
      <c r="B42" s="6">
        <v>1039</v>
      </c>
      <c r="C42" s="7">
        <v>46255</v>
      </c>
      <c r="D42" s="7" t="str">
        <f t="shared" si="0"/>
        <v>Aug</v>
      </c>
      <c r="E42" s="6" t="s">
        <v>24</v>
      </c>
      <c r="F42" s="6" t="s">
        <v>15</v>
      </c>
      <c r="G42" s="6" t="s">
        <v>29</v>
      </c>
      <c r="H42" s="6" t="s">
        <v>30</v>
      </c>
      <c r="I42" s="6">
        <v>3</v>
      </c>
      <c r="J42" s="6">
        <v>49000</v>
      </c>
      <c r="K42" s="6">
        <v>9800</v>
      </c>
      <c r="L42" s="6" t="s">
        <v>27</v>
      </c>
    </row>
    <row r="43" spans="2:12" ht="17.850000000000001" customHeight="1" x14ac:dyDescent="0.5">
      <c r="B43" s="6">
        <v>1040</v>
      </c>
      <c r="C43" s="7">
        <v>46256</v>
      </c>
      <c r="D43" s="7" t="str">
        <f t="shared" si="0"/>
        <v>Aug</v>
      </c>
      <c r="E43" s="6" t="s">
        <v>28</v>
      </c>
      <c r="F43" s="6" t="s">
        <v>20</v>
      </c>
      <c r="G43" s="6" t="s">
        <v>31</v>
      </c>
      <c r="H43" s="6" t="s">
        <v>32</v>
      </c>
      <c r="I43" s="6">
        <v>6</v>
      </c>
      <c r="J43" s="6">
        <v>11500</v>
      </c>
      <c r="K43" s="6">
        <v>2300</v>
      </c>
      <c r="L43" s="6" t="s">
        <v>18</v>
      </c>
    </row>
  </sheetData>
  <sortState xmlns:xlrd2="http://schemas.microsoft.com/office/spreadsheetml/2017/richdata2" ref="B4:L43">
    <sortCondition ref="C4:C43"/>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E037-8256-45C5-B802-A3C08DC094B9}">
  <dimension ref="B1:U14"/>
  <sheetViews>
    <sheetView showGridLines="0" showRowColHeaders="0" zoomScaleNormal="100" workbookViewId="0">
      <selection activeCell="J52" sqref="J52"/>
    </sheetView>
  </sheetViews>
  <sheetFormatPr defaultRowHeight="18" x14ac:dyDescent="0.5"/>
  <cols>
    <col min="2" max="2" width="16.21875" bestFit="1" customWidth="1"/>
    <col min="3" max="3" width="13.21875" bestFit="1" customWidth="1"/>
    <col min="4" max="4" width="3.77734375" customWidth="1"/>
    <col min="5" max="5" width="2.77734375" customWidth="1"/>
    <col min="6" max="6" width="14" bestFit="1" customWidth="1"/>
    <col min="7" max="7" width="13.21875" bestFit="1" customWidth="1"/>
    <col min="8" max="8" width="5.77734375" customWidth="1"/>
    <col min="9" max="10" width="2.77734375" customWidth="1"/>
    <col min="11" max="11" width="16.21875" bestFit="1" customWidth="1"/>
    <col min="12" max="12" width="13.44140625" bestFit="1" customWidth="1"/>
    <col min="13" max="13" width="13.21875" bestFit="1" customWidth="1"/>
    <col min="14" max="14" width="2.77734375" customWidth="1"/>
    <col min="15" max="15" width="17.77734375" bestFit="1" customWidth="1"/>
    <col min="16" max="16" width="13.44140625" bestFit="1" customWidth="1"/>
    <col min="17" max="17" width="13.6640625" bestFit="1" customWidth="1"/>
    <col min="18" max="18" width="2.77734375" customWidth="1"/>
    <col min="19" max="19" width="16.21875" bestFit="1" customWidth="1"/>
    <col min="20" max="20" width="13.21875" bestFit="1" customWidth="1"/>
    <col min="21" max="21" width="4.77734375" customWidth="1"/>
  </cols>
  <sheetData>
    <row r="1" spans="2:21" ht="27" x14ac:dyDescent="0.65">
      <c r="K1" s="17" t="s">
        <v>52</v>
      </c>
      <c r="L1" s="16"/>
    </row>
    <row r="3" spans="2:21" ht="21.6" x14ac:dyDescent="0.55000000000000004">
      <c r="B3" s="8" t="s">
        <v>39</v>
      </c>
      <c r="C3" s="8"/>
      <c r="D3" s="8"/>
      <c r="E3" s="9"/>
      <c r="F3" s="8" t="s">
        <v>40</v>
      </c>
      <c r="G3" s="8"/>
      <c r="H3" s="8"/>
      <c r="I3" s="8"/>
      <c r="J3" s="9"/>
      <c r="K3" s="8" t="s">
        <v>41</v>
      </c>
      <c r="L3" s="8"/>
      <c r="M3" s="8"/>
      <c r="N3" s="9"/>
      <c r="O3" s="8" t="s">
        <v>42</v>
      </c>
      <c r="P3" s="8"/>
      <c r="Q3" s="9"/>
      <c r="R3" s="9"/>
      <c r="S3" s="8" t="s">
        <v>51</v>
      </c>
      <c r="T3" s="8"/>
      <c r="U3" s="10"/>
    </row>
    <row r="5" spans="2:21" x14ac:dyDescent="0.5">
      <c r="B5" s="2" t="s">
        <v>33</v>
      </c>
      <c r="C5" s="3" t="s">
        <v>37</v>
      </c>
      <c r="D5" s="3"/>
      <c r="E5" s="3"/>
      <c r="F5" s="20" t="s">
        <v>33</v>
      </c>
      <c r="G5" t="s">
        <v>37</v>
      </c>
      <c r="K5" s="2" t="s">
        <v>33</v>
      </c>
      <c r="L5" s="3" t="s">
        <v>36</v>
      </c>
      <c r="M5" s="3" t="s">
        <v>37</v>
      </c>
      <c r="O5" s="2" t="s">
        <v>33</v>
      </c>
      <c r="P5" s="3" t="s">
        <v>36</v>
      </c>
      <c r="Q5" s="3" t="s">
        <v>34</v>
      </c>
      <c r="S5" s="2" t="s">
        <v>33</v>
      </c>
      <c r="T5" s="3" t="s">
        <v>37</v>
      </c>
    </row>
    <row r="6" spans="2:21" x14ac:dyDescent="0.5">
      <c r="B6" s="3" t="s">
        <v>24</v>
      </c>
      <c r="C6" s="3">
        <v>377500</v>
      </c>
      <c r="D6" s="3"/>
      <c r="E6" s="3"/>
      <c r="F6" t="s">
        <v>26</v>
      </c>
      <c r="G6">
        <v>128700</v>
      </c>
      <c r="K6" s="3" t="s">
        <v>27</v>
      </c>
      <c r="L6" s="3">
        <v>57</v>
      </c>
      <c r="M6" s="3">
        <v>403500</v>
      </c>
      <c r="O6" s="3" t="s">
        <v>20</v>
      </c>
      <c r="P6" s="3">
        <v>123</v>
      </c>
      <c r="Q6" s="3">
        <v>43450</v>
      </c>
      <c r="S6" s="3" t="s">
        <v>43</v>
      </c>
      <c r="T6" s="3">
        <v>170000</v>
      </c>
    </row>
    <row r="7" spans="2:21" x14ac:dyDescent="0.5">
      <c r="B7" s="3" t="s">
        <v>19</v>
      </c>
      <c r="C7" s="3">
        <v>288200</v>
      </c>
      <c r="D7" s="3"/>
      <c r="E7" s="3"/>
      <c r="F7" t="s">
        <v>32</v>
      </c>
      <c r="G7">
        <v>90500</v>
      </c>
      <c r="K7" s="3" t="s">
        <v>23</v>
      </c>
      <c r="L7" s="3">
        <v>72</v>
      </c>
      <c r="M7" s="3">
        <v>343700</v>
      </c>
      <c r="O7" s="4" t="s">
        <v>31</v>
      </c>
      <c r="P7" s="3">
        <v>47</v>
      </c>
      <c r="Q7" s="3">
        <v>18500</v>
      </c>
      <c r="S7" s="3" t="s">
        <v>44</v>
      </c>
      <c r="T7" s="3">
        <v>122000</v>
      </c>
    </row>
    <row r="8" spans="2:21" x14ac:dyDescent="0.5">
      <c r="B8" s="3" t="s">
        <v>14</v>
      </c>
      <c r="C8" s="3">
        <v>329300</v>
      </c>
      <c r="D8" s="3"/>
      <c r="E8" s="3"/>
      <c r="F8" t="s">
        <v>30</v>
      </c>
      <c r="G8">
        <v>372000</v>
      </c>
      <c r="K8" s="3" t="s">
        <v>18</v>
      </c>
      <c r="L8" s="3">
        <v>83</v>
      </c>
      <c r="M8" s="3">
        <v>522300</v>
      </c>
      <c r="O8" s="4" t="s">
        <v>21</v>
      </c>
      <c r="P8" s="3">
        <v>76</v>
      </c>
      <c r="Q8" s="3">
        <v>24950</v>
      </c>
      <c r="S8" s="3" t="s">
        <v>45</v>
      </c>
      <c r="T8" s="3">
        <v>185000</v>
      </c>
    </row>
    <row r="9" spans="2:21" x14ac:dyDescent="0.5">
      <c r="B9" s="3" t="s">
        <v>28</v>
      </c>
      <c r="C9" s="3">
        <v>274500</v>
      </c>
      <c r="D9" s="3"/>
      <c r="E9" s="3"/>
      <c r="F9" t="s">
        <v>17</v>
      </c>
      <c r="G9">
        <v>552000</v>
      </c>
      <c r="K9" s="3" t="s">
        <v>35</v>
      </c>
      <c r="L9" s="3">
        <v>212</v>
      </c>
      <c r="M9" s="3">
        <v>1269500</v>
      </c>
      <c r="O9" s="3" t="s">
        <v>15</v>
      </c>
      <c r="P9" s="3">
        <v>89</v>
      </c>
      <c r="Q9" s="3">
        <v>192900</v>
      </c>
      <c r="S9" s="3" t="s">
        <v>46</v>
      </c>
      <c r="T9" s="3">
        <v>151000</v>
      </c>
    </row>
    <row r="10" spans="2:21" x14ac:dyDescent="0.5">
      <c r="B10" s="3" t="s">
        <v>35</v>
      </c>
      <c r="C10" s="3">
        <v>1269500</v>
      </c>
      <c r="D10" s="3"/>
      <c r="E10" s="3"/>
      <c r="F10" t="s">
        <v>22</v>
      </c>
      <c r="G10">
        <v>126300</v>
      </c>
      <c r="O10" s="4" t="s">
        <v>25</v>
      </c>
      <c r="P10" s="3">
        <v>53</v>
      </c>
      <c r="Q10" s="3">
        <v>25200</v>
      </c>
      <c r="S10" s="3" t="s">
        <v>47</v>
      </c>
      <c r="T10" s="3">
        <v>179000</v>
      </c>
    </row>
    <row r="11" spans="2:21" x14ac:dyDescent="0.5">
      <c r="B11" s="3"/>
      <c r="C11" s="3"/>
      <c r="D11" s="3"/>
      <c r="E11" s="3"/>
      <c r="F11" t="s">
        <v>35</v>
      </c>
      <c r="G11">
        <v>1269500</v>
      </c>
      <c r="O11" s="4" t="s">
        <v>16</v>
      </c>
      <c r="P11" s="3">
        <v>12</v>
      </c>
      <c r="Q11" s="3">
        <v>93700</v>
      </c>
      <c r="S11" s="3" t="s">
        <v>48</v>
      </c>
      <c r="T11" s="3">
        <v>122500</v>
      </c>
    </row>
    <row r="12" spans="2:21" x14ac:dyDescent="0.5">
      <c r="O12" s="4" t="s">
        <v>29</v>
      </c>
      <c r="P12" s="3">
        <v>24</v>
      </c>
      <c r="Q12" s="3">
        <v>74000</v>
      </c>
      <c r="S12" s="3" t="s">
        <v>49</v>
      </c>
      <c r="T12" s="3">
        <v>198500</v>
      </c>
    </row>
    <row r="13" spans="2:21" x14ac:dyDescent="0.5">
      <c r="O13" s="3" t="s">
        <v>35</v>
      </c>
      <c r="P13" s="3">
        <v>212</v>
      </c>
      <c r="Q13" s="3">
        <v>236350</v>
      </c>
      <c r="S13" s="3" t="s">
        <v>50</v>
      </c>
      <c r="T13" s="3">
        <v>141500</v>
      </c>
    </row>
    <row r="14" spans="2:21" x14ac:dyDescent="0.5">
      <c r="S14" s="3" t="s">
        <v>35</v>
      </c>
      <c r="T14" s="3">
        <v>1269500</v>
      </c>
    </row>
  </sheetData>
  <conditionalFormatting pivot="1" sqref="C6:C9">
    <cfRule type="cellIs" dxfId="51" priority="8" operator="greaterThan">
      <formula>370000</formula>
    </cfRule>
  </conditionalFormatting>
  <conditionalFormatting pivot="1" sqref="C6:C9">
    <cfRule type="cellIs" dxfId="50" priority="7" operator="lessThan">
      <formula>280000</formula>
    </cfRule>
  </conditionalFormatting>
  <conditionalFormatting pivot="1" sqref="G6:G10">
    <cfRule type="cellIs" dxfId="49" priority="6" operator="greaterThan">
      <formula>400000</formula>
    </cfRule>
  </conditionalFormatting>
  <conditionalFormatting pivot="1" sqref="G6:G10">
    <cfRule type="cellIs" dxfId="48" priority="5" operator="lessThan">
      <formula>100000</formula>
    </cfRule>
  </conditionalFormatting>
  <conditionalFormatting pivot="1" sqref="M6:M8">
    <cfRule type="cellIs" dxfId="47" priority="4" operator="greaterThan">
      <formula>433000</formula>
    </cfRule>
  </conditionalFormatting>
  <conditionalFormatting pivot="1" sqref="M7">
    <cfRule type="cellIs" dxfId="46" priority="3" operator="greaterThan">
      <formula>300000</formula>
    </cfRule>
  </conditionalFormatting>
  <conditionalFormatting pivot="1" sqref="T6:T13">
    <cfRule type="cellIs" dxfId="45" priority="2" operator="greaterThan">
      <formula>190000</formula>
    </cfRule>
  </conditionalFormatting>
  <conditionalFormatting pivot="1" sqref="T6:T13">
    <cfRule type="cellIs" dxfId="44" priority="1" operator="lessThan">
      <formula>122500</formula>
    </cfRule>
  </conditionalFormatting>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F382-9749-42D5-8A83-CF4E7B7E6FF2}">
  <dimension ref="C1:J4"/>
  <sheetViews>
    <sheetView showGridLines="0" showRowColHeaders="0" tabSelected="1" zoomScale="110" zoomScaleNormal="110" workbookViewId="0">
      <selection activeCell="C3" sqref="C3"/>
    </sheetView>
  </sheetViews>
  <sheetFormatPr defaultRowHeight="18" x14ac:dyDescent="0.5"/>
  <cols>
    <col min="1" max="1" width="5.77734375" customWidth="1"/>
    <col min="2" max="2" width="1.77734375" customWidth="1"/>
    <col min="3" max="3" width="23.109375" bestFit="1" customWidth="1"/>
    <col min="4" max="4" width="2.21875" bestFit="1" customWidth="1"/>
    <col min="5" max="5" width="24.33203125" bestFit="1" customWidth="1"/>
    <col min="6" max="6" width="2.21875" bestFit="1" customWidth="1"/>
    <col min="7" max="7" width="27.21875" bestFit="1" customWidth="1"/>
    <col min="8" max="8" width="2.21875" bestFit="1" customWidth="1"/>
    <col min="9" max="9" width="28.88671875" bestFit="1" customWidth="1"/>
    <col min="10" max="10" width="4.77734375" customWidth="1"/>
  </cols>
  <sheetData>
    <row r="1" spans="3:10" ht="29.4" x14ac:dyDescent="0.7">
      <c r="E1" s="19" t="s">
        <v>53</v>
      </c>
      <c r="F1" s="14"/>
      <c r="G1" s="18"/>
      <c r="H1" s="15"/>
      <c r="I1" s="14"/>
      <c r="J1" s="14"/>
    </row>
    <row r="3" spans="3:10" ht="33.6" x14ac:dyDescent="0.8">
      <c r="C3" s="21" t="s">
        <v>0</v>
      </c>
      <c r="E3" s="22" t="s">
        <v>1</v>
      </c>
      <c r="G3" s="21" t="s">
        <v>2</v>
      </c>
      <c r="I3" s="11" t="s">
        <v>3</v>
      </c>
    </row>
    <row r="4" spans="3:10" ht="33.6" x14ac:dyDescent="0.8">
      <c r="C4" s="13">
        <v>1269500</v>
      </c>
      <c r="E4" s="12">
        <v>236350</v>
      </c>
      <c r="G4" s="12">
        <v>212</v>
      </c>
      <c r="I4" s="12">
        <v>31737.5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Ushasri Pinninti</dc:creator>
  <cp:lastModifiedBy>Ushasri Pinninti</cp:lastModifiedBy>
  <cp:lastPrinted>2026-05-17T13:49:49Z</cp:lastPrinted>
  <dcterms:created xsi:type="dcterms:W3CDTF">2026-05-17T08:37:40Z</dcterms:created>
  <dcterms:modified xsi:type="dcterms:W3CDTF">2026-05-29T11:00:46Z</dcterms:modified>
</cp:coreProperties>
</file>